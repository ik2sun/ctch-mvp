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요약" state="visible" r:id="rId4"/>
    <sheet sheetId="2" name="01_질문설계" state="visible" r:id="rId5"/>
    <sheet sheetId="3" name="02_응답매트릭스" state="visible" r:id="rId6"/>
    <sheet sheetId="4" name="03_진단항목" state="visible" r:id="rId7"/>
    <sheet sheetId="5" name="04_크롤러" state="visible" r:id="rId8"/>
    <sheet sheetId="6" name="05_스키마" state="visible" r:id="rId9"/>
    <sheet sheetId="7" name="06_온페이지_인용적합도" state="visible" r:id="rId10"/>
    <sheet sheetId="8" name="07_엔진별처방" state="visible" r:id="rId11"/>
    <sheet sheetId="9" name="08_인용출처" state="visible" r:id="rId12"/>
    <sheet sheetId="10" name="09_유의사항" state="visible" r:id="rId13"/>
    <sheet sheetId="11" name="10_AEO콘텐츠설계" state="visible" r:id="rId14"/>
    <sheet sheetId="12" name="11_GEO전략" state="visible" r:id="rId15"/>
    <sheet sheetId="13" name="12_SOV실측가이드" state="visible" r:id="rId16"/>
    <sheet sheetId="14" name="13_JSON-LD" state="visible" r:id="rId17"/>
  </sheets>
  <calcPr calcId="171027"/>
</workbook>
</file>

<file path=xl/sharedStrings.xml><?xml version="1.0" encoding="utf-8"?>
<sst xmlns="http://schemas.openxmlformats.org/spreadsheetml/2006/main" count="1069" uniqueCount="595">
  <si>
    <t xml:space="preserve">  아모레퍼시픽 에스트라 SEO·AEO·GEO 진단 — 기술 진단·질문 설계 원천 기록</t>
  </si>
  <si>
    <t xml:space="preserve">  2026-09-16 16:04 KST 측정 · https://www.aestura.com/web/product/view.do?prdSeq=1131 · 점검 항목 21건 · AI 크롤러 13종 · 본 문서의 모든 수치는 JS 미실행 원본 HTML과 robots.txt에서 직접 산출되었습니다.</t>
  </si>
  <si>
    <t>핵심 지표</t>
  </si>
  <si>
    <t>구분</t>
  </si>
  <si>
    <t>검색용 AI 크롤러 허용</t>
  </si>
  <si>
    <t>JS 없이 읽힌 본문(자)</t>
  </si>
  <si>
    <t>JSON-LD 블록</t>
  </si>
  <si>
    <t>스키마 타입</t>
  </si>
  <si>
    <t>FIX HIGH / MID / LOW</t>
  </si>
  <si>
    <t>PASS</t>
  </si>
  <si>
    <t>인용 후보 단락</t>
  </si>
  <si>
    <t>값</t>
  </si>
  <si>
    <t>6 / 6</t>
  </si>
  <si>
    <t>WebPage, Product, FAQPage, HowTo, BreadcrumbList</t>
  </si>
  <si>
    <t>2 / 5 / 4</t>
  </si>
  <si>
    <t>진단 결론</t>
  </si>
  <si>
    <t>헤드라인</t>
  </si>
  <si>
    <t>스키마는 작동하지만 브랜드를 아는 고객에게만 작동합니다.</t>
  </si>
  <si>
    <t>보충</t>
  </si>
  <si>
    <t>비브랜드 탐색 질문에서는 후보군에 들지 못합니다.</t>
  </si>
  <si>
    <t>페이지 역할</t>
  </si>
  <si>
    <t>설명의 원천 — 성분·효능을 정확히 설명하는 자리이며 구매 도착지는 커머스몰이 맡는다</t>
  </si>
  <si>
    <t>엔진별 준비도 (AI 진단)</t>
  </si>
  <si>
    <t>엔진</t>
  </si>
  <si>
    <t>준비도</t>
  </si>
  <si>
    <t>근거</t>
  </si>
  <si>
    <t>후보군 진입을 막는 요인</t>
  </si>
  <si>
    <t>처방</t>
  </si>
  <si>
    <t>ChatGPT</t>
  </si>
  <si>
    <t>미흡</t>
  </si>
  <si>
    <t>Product에 가격은 있으나 재고·식별자·판매자가 없고 가격이 화면에 없다.</t>
  </si>
  <si>
    <t xml:space="preserve">· 커머스 필드 누락
· 상품 피드 미제출</t>
  </si>
  <si>
    <t xml:space="preserve">· offers.availability·sku·gtin13 추가
· OpenAI 상품 피드 제출</t>
  </si>
  <si>
    <t>Gemini · AI Overviews</t>
  </si>
  <si>
    <t>보통</t>
  </si>
  <si>
    <t>JSON-LD 5종이 있고 FAQ 7문항이 정형화되어 있다. h2가 없어 하위 질의 매칭이 어렵다.</t>
  </si>
  <si>
    <t xml:space="preserve">· 질문형 h2 없음
· Organization sameAs 없음</t>
  </si>
  <si>
    <t xml:space="preserve">· FAQ를 질문형 h2 + 2~3문장 답으로 본문 노출
· Organization·sameAs 추가</t>
  </si>
  <si>
    <t>Claude</t>
  </si>
  <si>
    <t>Brave 인덱스 순위가 곧 인용이다. 전통 SEO 신호(h1·h2·description)가 약하다.</t>
  </si>
  <si>
    <t>· h1이 주제와 무관</t>
  </si>
  <si>
    <t xml:space="preserve">· 제품명 h1
· 질문형 h2</t>
  </si>
  <si>
    <t>Perplexity</t>
  </si>
  <si>
    <t>고유 성분명 문구는 옮겨 적히기 좋다. 날짜 신호가 없다.</t>
  </si>
  <si>
    <t>· 최신성 신호 없음</t>
  </si>
  <si>
    <t xml:space="preserve">· dateModified 표기
· 블로그·유튜브에 고유 문장 확산</t>
  </si>
  <si>
    <t>네이버 AI 브리핑</t>
  </si>
  <si>
    <t>Yeti는 허용되나 서치어드바이저 인증 메타가 없고 정의문·질문형 소제목이 없다.</t>
  </si>
  <si>
    <t xml:space="preserve">· 첫 문단 정의문 없음
· C-Rank 채널 부재</t>
  </si>
  <si>
    <t xml:space="preserve">· 서치어드바이저 등록 확인
· 공식 블로그에서 동일 문장 반복 발행</t>
  </si>
  <si>
    <t>시트 구성</t>
  </si>
  <si>
    <t>01_질문설계</t>
  </si>
  <si>
    <t>비브랜드 질문 10개 전문 · 유형 · 여정 · 설계 근거 (AI 진단 결과)</t>
  </si>
  <si>
    <t>02_응답매트릭스</t>
  </si>
  <si>
    <t>질문 × 엔진 5종 언급 순위 기록 템플릿 — 실측 후 채움</t>
  </si>
  <si>
    <t>03_진단항목</t>
  </si>
  <si>
    <t>기술 진단 21건 전수 — 상태 · 우선순위 · 영역 · 상세 · 영향 엔진</t>
  </si>
  <si>
    <t>04_크롤러</t>
  </si>
  <si>
    <t>AI 크롤러 13종 robots.txt 판정 — 검색용/실시간 fetch/학습용 분리</t>
  </si>
  <si>
    <t>05_스키마</t>
  </si>
  <si>
    <t>JSON-LD 노드 · Product 필드 체크 · FAQ 문항 · 화면 미표시 값</t>
  </si>
  <si>
    <t>06_온페이지_인용적합도</t>
  </si>
  <si>
    <t>title · h1 · h2 · canonical · lang · 인용 적합도 휴리스틱 · 첫 단락</t>
  </si>
  <si>
    <t>07_엔진별처방</t>
  </si>
  <si>
    <t>엔진별 준비도 · 우선 액션 · 외부 채널 액션 · 재해석 (AI 진단 결과)</t>
  </si>
  <si>
    <t>08_인용출처</t>
  </si>
  <si>
    <t>실측 시 인용 URL 전수 기록 템플릿 — 질문 · 엔진 · 순위 · 출처 유형 · 자사 여부 · 도메인 · URL</t>
  </si>
  <si>
    <t>09_유의사항</t>
  </si>
  <si>
    <t>집계 방식과 데이터 한계 — 수치 해석 전 확인</t>
  </si>
  <si>
    <t>10_AEO콘텐츠설계</t>
  </si>
  <si>
    <t>여정별 질의 10선 × 질문형 H2 · 첫 100~200자 Direct Answer · FAQ 스니펫 · 요약 표 (AI 진단)</t>
  </si>
  <si>
    <t>11_GEO전략</t>
  </si>
  <si>
    <t>Citable Snippet 5선 · Two Paths(Path A/B) 실행안 · 브랜드 엔티티 키워드 매핑 (AI 진단)</t>
  </si>
  <si>
    <t>12_SOV실측가이드</t>
  </si>
  <si>
    <t>5대 엔진 테스트 프롬프트 세트 · 실측 기록 체크리스트 5항목 · 노출 미흡 원인 의사결정 트리</t>
  </si>
  <si>
    <t>13_JSON-LD</t>
  </si>
  <si>
    <t>업종 판정 근거 · 즉시 삽입 가능한 JSON-LD 스크립트 전문 · 적용 메모</t>
  </si>
  <si>
    <t xml:space="preserve">  비브랜드 질문 10개 설계 상세</t>
  </si>
  <si>
    <t xml:space="preserve">  질문은 대상 페이지의 FAQ · 속성 · 본문 문구에서 직접 추출했습니다(AI 진단). 브랜드명이 들어가지 않은 비브랜드 질문이며, 범용형(카테고리 일반 추천)과 검증형(페이지 고유 조건)을 섞고 여정 구간을 분산했습니다.</t>
  </si>
  <si>
    <t>No</t>
  </si>
  <si>
    <t>질문 전문</t>
  </si>
  <si>
    <t>유형</t>
  </si>
  <si>
    <t>여정(구매 의도)</t>
  </si>
  <si>
    <t>설계 근거 (페이지 원문)</t>
  </si>
  <si>
    <t>세라마이드와 히알루론산은 뭐가 다르고 왜 같이 쓰나</t>
  </si>
  <si>
    <t>범용형</t>
  </si>
  <si>
    <t>정보 탐색</t>
  </si>
  <si>
    <t>FAQ "세라마이드와 결합된 차세대 히알루론산" · additionalProperty "단 5분 만에 속수분 3배 충전, 72시간 지속"</t>
  </si>
  <si>
    <t>피부 장벽이 무너지면 어떤 증상이 나타나고 어떻게 회복하나</t>
  </si>
  <si>
    <t>검증형</t>
  </si>
  <si>
    <t>세라마이드랑 히알루론산 결합된 속수분 앰플 추천해줘</t>
  </si>
  <si>
    <t>민감성 피부용 수분 앰플 성분 비교 기준이 뭐야</t>
  </si>
  <si>
    <t>대안 비교</t>
  </si>
  <si>
    <t>속당김 심한 건성 피부에 바르자마자 수분 채워지는 앰플 있어?</t>
  </si>
  <si>
    <t>화장품 알레르기 있는 피부에 쓸 수 있는 저자극 앰플은</t>
  </si>
  <si>
    <t>솔루션 탐색</t>
  </si>
  <si>
    <t>앰플 바르고 72시간 보습 유지된다는 건 어떤 기준으로 측정하나</t>
  </si>
  <si>
    <t>임상시험으로 속수분 3배 충전이 입증된 앰플 뭐가 있어</t>
  </si>
  <si>
    <t>피부과 전문의가 추천하는 민감성 앰플 고르는 법</t>
  </si>
  <si>
    <t>구매 결정</t>
  </si>
  <si>
    <t>3만원대 민감성 속수분 앰플 중 리뷰 많은 제품</t>
  </si>
  <si>
    <t xml:space="preserve">  ※ 질문풀이 '비교 의도' 한 구간에 몰리면 사이트가 가장 약한 영역만 측정하게 됩니다. 정보 탐색(지식) 질문이 포함되어 있는지 확인하고, 필요하면 사이트가 보유한 지식 자산(연구·전문가 콘텐츠)에서 질문을 추가하세요.</t>
  </si>
  <si>
    <t xml:space="preserve">  질문 × 엔진 응답 매트릭스 (실측 기록 템플릿)</t>
  </si>
  <si>
    <t xml:space="preserve">  각 셀에 응답 내 브랜드 언급 순위를 숫자로, 미언급은 '—'로 기록합니다. 괄호 안에 감성(긍정/중립/부정)을 적습니다. 매 질의는 세션 초기화(대화 이력 없음) 상태로 수행하고 응답 원문은 별도 보관합니다.</t>
  </si>
  <si>
    <t>질문</t>
  </si>
  <si>
    <t>여정</t>
  </si>
  <si>
    <t>Gemini</t>
  </si>
  <si>
    <t/>
  </si>
  <si>
    <t>언급 건수</t>
  </si>
  <si>
    <t>언급률</t>
  </si>
  <si>
    <t>1순위</t>
  </si>
  <si>
    <t>전체 언급 (총 응답 중)</t>
  </si>
  <si>
    <t xml:space="preserve">  ※ 언급 집계를 브랜드명 매칭으로 하면 제품명만 등장한 응답을 놓칩니다. 원문과 대조해 '집계 외 실질 노출'을 별도 표기하세요. 실재하지 않는 제품명(환각)이 언급으로 잡힐 수 있으니 표기합니다.</t>
  </si>
  <si>
    <t xml:space="preserve">  기술 진단 항목 21건 전수</t>
  </si>
  <si>
    <t xml:space="preserve">  2026-09-16 16:04 KST · https://www.aestura.com/web/product/view.do?prdSeq=1131 · PASS 7 · FIX HIGH 2 / MID 5 / LOW 4 · INFO 3. 확인된 것만 기재했습니다.</t>
  </si>
  <si>
    <t>ID</t>
  </si>
  <si>
    <t>상태</t>
  </si>
  <si>
    <t>우선순위</t>
  </si>
  <si>
    <t>영역</t>
  </si>
  <si>
    <t>항목</t>
  </si>
  <si>
    <t>상세</t>
  </si>
  <si>
    <t>영향 엔진</t>
  </si>
  <si>
    <t>F04</t>
  </si>
  <si>
    <t>FIX</t>
  </si>
  <si>
    <t>HIGH</t>
  </si>
  <si>
    <t>스키마</t>
  </si>
  <si>
    <t>Product「아토베리어365 세라-히알 속수분 앰플」 커머스 필수 필드 누락</t>
  </si>
  <si>
    <t>offers.availability, 식별자(sku·gtin·mpn·productID) 없음. 가격·재고·식별자가 없는 페이지는 커머스 데이터 중심 엔진(ChatGPT)에서 "구매 가능한 상품"으로 인식되기 어렵습니다.</t>
  </si>
  <si>
    <t>ChatGPT · Gemini·AIO · Copilot</t>
  </si>
  <si>
    <t>F11</t>
  </si>
  <si>
    <t>온페이지</t>
  </si>
  <si>
    <t>&lt;h1&gt;이 페이지 주제와 무관 (2개)</t>
  </si>
  <si>
    <t>h1: "※ MCL (메디컬 카운셀링 라이브) 회원 개인정보 수집 ·동의 (선택)" — 제목(title)의 핵심어가 h1에 없습니다. 제품명·주제를 담은 h1이 본문 상단에 있어야 엔진이 페이지 주제를 확정합니다.</t>
  </si>
  <si>
    <t>ChatGPT · Gemini·AIO · Claude · Perplexity · Copilot · 네이버</t>
  </si>
  <si>
    <t>F05</t>
  </si>
  <si>
    <t>MID</t>
  </si>
  <si>
    <t>Product「아토베리어365 세라-히알 속수분 앰플」 권장 필드 누락</t>
  </si>
  <si>
    <t>offers.priceValidUntil, offers.itemCondition, offers.seller 없음. 평점·리뷰·판매자·가격 유효기간이 있어야 상품 카드 형식 답변에 실립니다.</t>
  </si>
  <si>
    <t>ChatGPT · Gemini·AIO</t>
  </si>
  <si>
    <t>F09</t>
  </si>
  <si>
    <t>정합성</t>
  </si>
  <si>
    <t>구조화 데이터에만 있고 화면에 없는 값</t>
  </si>
  <si>
    <t>가격 33000 · 리뷰 수 1047 · 평점 4.8. 화면과 구조화 데이터가 다르면 신뢰 신호가 약해지고, 가격·리뷰는 판매 채널과 어긋날 수 있습니다.</t>
  </si>
  <si>
    <t>Gemini·AIO · ChatGPT</t>
  </si>
  <si>
    <t>F12</t>
  </si>
  <si>
    <t>&lt;h2&gt; 없음</t>
  </si>
  <si>
    <t>섹션 헤딩이 없으면 엔진이 단락을 주제별로 추출하기 어렵습니다. 질문형 h2 아래 2~3문장 직접 답변 구조를 권장합니다.</t>
  </si>
  <si>
    <t>Gemini·AIO · Perplexity · 네이버 · Claude</t>
  </si>
  <si>
    <t>F18</t>
  </si>
  <si>
    <t>인용 적합도</t>
  </si>
  <si>
    <t>질문형 헤딩 없음</t>
  </si>
  <si>
    <t>"○○는 무엇인가", "○○ 어떻게 고르나" 같은 질문형 h2/h3가 없습니다. 하위 질의(query fan-out)와 헤딩이 매칭될 때 그 아래 단락이 인용됩니다.</t>
  </si>
  <si>
    <t>Gemini·AIO · Perplexity · 네이버</t>
  </si>
  <si>
    <t>F21</t>
  </si>
  <si>
    <t>발행일·수정일 신호 없음</t>
  </si>
  <si>
    <t>Perplexity·Gemini는 최신성을 가중합니다. datePublished/dateModified 또는 &lt;time&gt;을 제공하세요.</t>
  </si>
  <si>
    <t>Perplexity · Gemini·AIO</t>
  </si>
  <si>
    <t>F08</t>
  </si>
  <si>
    <t>LOW</t>
  </si>
  <si>
    <t>지원 종료 타입: HowTo</t>
  </si>
  <si>
    <t>Google 리치결과 지원 종료(2023-09). AI 답변 소재로는 유지 가능</t>
  </si>
  <si>
    <t>Gemini·AIO</t>
  </si>
  <si>
    <t>F13</t>
  </si>
  <si>
    <t>이미지 alt 누락 17/131</t>
  </si>
  <si>
    <t>이미지 내용은 alt가 없으면 AI가 읽지 못합니다.</t>
  </si>
  <si>
    <t>F15</t>
  </si>
  <si>
    <t>AI 파일</t>
  </si>
  <si>
    <t>llms.txt 없음</t>
  </si>
  <si>
    <t>Google 검색·AI Overviews에는 영향이 없습니다(공식 입장). 다른 AI 크롤러용 보조 안내로 /llms.txt 제공을 검토하세요. 인용 순위 지표로 쓰지 않습니다.</t>
  </si>
  <si>
    <t>ChatGPT · Claude · Perplexity</t>
  </si>
  <si>
    <t>F20</t>
  </si>
  <si>
    <t>첫 화면에 정의문 패턴 없음</t>
  </si>
  <si>
    <t>"X는 Y입니다" 형태의 직접 답변이 초반 1,200자 안에 없습니다. 네이버 AI 브리핑과 AI Overviews 모두 정의문을 우선 인용합니다.</t>
  </si>
  <si>
    <t>Gemini·AIO · 네이버 · Perplexity</t>
  </si>
  <si>
    <t>F01</t>
  </si>
  <si>
    <t>크롤러</t>
  </si>
  <si>
    <t>검색용 AI 크롤러 6종 전부 허용</t>
  </si>
  <si>
    <t>OAI-SearchBot · Googlebot · Claude-SearchBot · PerplexityBot · bingbot · Yeti가 이 경로에 접근할 수 있습니다.</t>
  </si>
  <si>
    <t>F02</t>
  </si>
  <si>
    <t>렌더링</t>
  </si>
  <si>
    <t>JS 없이 본문 16,408자 · JSON-LD 1블록 취득</t>
  </si>
  <si>
    <t>AI 크롤러가 보는 방식(HTML만)으로도 본문과 구조화 데이터를 읽을 수 있습니다.</t>
  </si>
  <si>
    <t>F03</t>
  </si>
  <si>
    <t>JSON-LD 1블록 · 타입 5종</t>
  </si>
  <si>
    <t>Gemini·AIO · ChatGPT · 네이버</t>
  </si>
  <si>
    <t>F06</t>
  </si>
  <si>
    <t>FAQ 7문항 구조화</t>
  </si>
  <si>
    <t>질문형 소재가 정형화되어 있어 비브랜드 질문 설계와 단락 인용에 유리합니다. (Google 리치결과 혜택은 2026-05 종료, AI 추출 소재로는 유효)</t>
  </si>
  <si>
    <t>F10</t>
  </si>
  <si>
    <t>&lt;title&gt; 31자</t>
  </si>
  <si>
    <t>아토베리어365 세라-히알 속수분 앰플 | AESTURA</t>
  </si>
  <si>
    <t>F16</t>
  </si>
  <si>
    <t>등록</t>
  </si>
  <si>
    <t>사이트맵 확인</t>
  </si>
  <si>
    <t>https://www.aestura.com/sitemap.xml</t>
  </si>
  <si>
    <t>F19</t>
  </si>
  <si>
    <t>인용 후보 단락 20개</t>
  </si>
  <si>
    <t>180~700자 범위의 자기완결 단락이 있습니다.</t>
  </si>
  <si>
    <t>Gemini·AIO · Perplexity · Claude · 네이버</t>
  </si>
  <si>
    <t>F07</t>
  </si>
  <si>
    <t>INFO</t>
  </si>
  <si>
    <t>Organization/Brand 노드 없음</t>
  </si>
  <si>
    <t>브랜드 엔티티 노드가 이 페이지에 없습니다. 사이트 공통 Organization 스키마가 다른 페이지에 있는지 확인하세요.</t>
  </si>
  <si>
    <t>F14</t>
  </si>
  <si>
    <t>국제화</t>
  </si>
  <si>
    <t>hreflang 없음</t>
  </si>
  <si>
    <t>다국어 사이트라면 언어·지역별 대체 URL을 선언해야 합니다. 단일 언어 사이트면 해당 없음.</t>
  </si>
  <si>
    <t>ChatGPT · Gemini·AIO · Claude · Perplexity · Copilot</t>
  </si>
  <si>
    <t>F17</t>
  </si>
  <si>
    <t>네이버 서치어드바이저 인증 메타 미검출</t>
  </si>
  <si>
    <t>HTML 파일 업로드 등 다른 방식으로 인증했을 수 있습니다. 서치어드바이저에서 사이트 등록·Yeti 수집 상태를 확인하세요.</t>
  </si>
  <si>
    <t>네이버</t>
  </si>
  <si>
    <t xml:space="preserve">  AI 크롤러 13종 robots.txt 판정</t>
  </si>
  <si>
    <t xml:space="preserve">  robots.txt 확인 · 판정 경로 /web/product/view.do · 검색용 UA 차단은 인용 불가로 직결되고, 학습용 UA 차단은 인용과 무관합니다. 두 판정을 합쳐 해석하지 않습니다.</t>
  </si>
  <si>
    <t>User-Agent</t>
  </si>
  <si>
    <t>운영사</t>
  </si>
  <si>
    <t>역할</t>
  </si>
  <si>
    <t>적용 그룹</t>
  </si>
  <si>
    <t>이 UA가 결정하는 것</t>
  </si>
  <si>
    <t>OAI-SearchBot</t>
  </si>
  <si>
    <t>OpenAI</t>
  </si>
  <si>
    <t>검색용</t>
  </si>
  <si>
    <t>허용</t>
  </si>
  <si>
    <t>*</t>
  </si>
  <si>
    <t>ChatGPT 검색 인덱싱 · 인용 가능 여부</t>
  </si>
  <si>
    <t>Googlebot</t>
  </si>
  <si>
    <t>Google</t>
  </si>
  <si>
    <t>Google 검색 인덱스 = AI Overviews · AI Mode · Gemini grounding 원천</t>
  </si>
  <si>
    <t>Claude-SearchBot</t>
  </si>
  <si>
    <t>Anthropic</t>
  </si>
  <si>
    <t>Claude 검색 결과 인덱싱 · 인용 가능 여부</t>
  </si>
  <si>
    <t>PerplexityBot</t>
  </si>
  <si>
    <t>Perplexity 자체 인덱스 구축 · 인용 가능 여부</t>
  </si>
  <si>
    <t>bingbot</t>
  </si>
  <si>
    <t>Microsoft</t>
  </si>
  <si>
    <t>Bing 인덱스 = Copilot 원천</t>
  </si>
  <si>
    <t>Copilot</t>
  </si>
  <si>
    <t>Yeti</t>
  </si>
  <si>
    <t>네이버 검색 색인 = AI 브리핑 · AI 탭 원천</t>
  </si>
  <si>
    <t>ChatGPT-User</t>
  </si>
  <si>
    <t>실시간 fetch</t>
  </si>
  <si>
    <t>ChatGPT 사용자 질의 시 실시간 페이지 fetch</t>
  </si>
  <si>
    <t>Claude-User</t>
  </si>
  <si>
    <t>Claude 사용자 요청 시 실시간 fetch</t>
  </si>
  <si>
    <t>Perplexity-User</t>
  </si>
  <si>
    <t>Perplexity 사용자 질의 시 실시간 fetch</t>
  </si>
  <si>
    <t>GPTBot</t>
  </si>
  <si>
    <t>학습용</t>
  </si>
  <si>
    <t>OpenAI 모델 학습 수집 (인용과 무관)</t>
  </si>
  <si>
    <t>Google-Extended</t>
  </si>
  <si>
    <t>Gemini 학습·grounding 옵트아웃 (AI Overviews에는 영향 없음)</t>
  </si>
  <si>
    <t>ClaudeBot</t>
  </si>
  <si>
    <t>Anthropic 모델 학습 수집 (인용과 무관)</t>
  </si>
  <si>
    <t>CCBot</t>
  </si>
  <si>
    <t>Common Crawl</t>
  </si>
  <si>
    <t>다수 모델 학습 데이터 (인용과 무관)</t>
  </si>
  <si>
    <t>Sitemap 선언</t>
  </si>
  <si>
    <t xml:space="preserve">  ※ Google-Extended 차단은 AI Overviews·AI Mode에 영향이 없습니다(Googlebot 인덱스 기반). nosnippet / data-nosnippet / max-snippet:0 이 실제 제어 수단입니다. IP·CDN(WAF) 단위 차단은 서버 로그 없이는 확인할 수 없습니다.</t>
  </si>
  <si>
    <t xml:space="preserve">  구조화 데이터 (JSON-LD) 검증</t>
  </si>
  <si>
    <t xml:space="preserve">  JSON-LD 1블록 · 파싱 오류 0건 · 타입 WebPage, Product, FAQPage, HowTo, BreadcrumbList</t>
  </si>
  <si>
    <t>노드 타입</t>
  </si>
  <si>
    <t>이름</t>
  </si>
  <si>
    <t>확인됨</t>
  </si>
  <si>
    <t>과제</t>
  </si>
  <si>
    <t>WebPage</t>
  </si>
  <si>
    <t>아토베리어365 세라-히알 속수분 앰플</t>
  </si>
  <si>
    <t>Product</t>
  </si>
  <si>
    <t xml:space="preserve">offers.price
offers.priceCurrency
brand
image
description
aggregateRating
review
review.author·reviewRating</t>
  </si>
  <si>
    <t xml:space="preserve">offers.priceValidUntil 없음
offers.availability 없음
offers.itemCondition 없음
offers.seller 없음
식별자(sku·gtin·mpn·productID) 없음</t>
  </si>
  <si>
    <t>FAQPage</t>
  </si>
  <si>
    <t>7문항</t>
  </si>
  <si>
    <t>HowTo</t>
  </si>
  <si>
    <t>아토베리어365 세라-히알 속수분 앰플 사용 방법</t>
  </si>
  <si>
    <t>2스텝</t>
  </si>
  <si>
    <t>BreadcrumbList</t>
  </si>
  <si>
    <t>3단계</t>
  </si>
  <si>
    <t>Product 필드 체크</t>
  </si>
  <si>
    <t>상품</t>
  </si>
  <si>
    <t>가격 / 평점 / 리뷰수</t>
  </si>
  <si>
    <t>있는 필드</t>
  </si>
  <si>
    <t>없는 필드</t>
  </si>
  <si>
    <t>33000 KRW / 4.8 / 1047</t>
  </si>
  <si>
    <t xml:space="preserve">offers.priceValidUntil
offers.availability
offers.itemCondition
offers.seller
식별자(sku·gtin·mpn·productID)</t>
  </si>
  <si>
    <t>정합성 — 구조화 데이터에만 있고 화면에 없는 값</t>
  </si>
  <si>
    <t>가격 33000 · 리뷰 수 1047 · 평점 4.8</t>
  </si>
  <si>
    <t>FAQ 문항 7개 (질문 설계 원천)</t>
  </si>
  <si>
    <t>Q1</t>
  </si>
  <si>
    <t>속건조와 피부 장벽 관리가 고민인 고객에게 아토베리어365 세라-히알 속수분 앰플은 적합한가요?</t>
  </si>
  <si>
    <t>Q2</t>
  </si>
  <si>
    <t>아토베리어365 세라-히알 속수분 앰플의 구성 성분과 효능·효과는 무엇인가요?</t>
  </si>
  <si>
    <t>Q3</t>
  </si>
  <si>
    <t>세라-히알루론산™과 니아신아마이드가 들어간 이 앰플은 어떤 도움을 주나요?</t>
  </si>
  <si>
    <t>Q4</t>
  </si>
  <si>
    <t>아토베리어365 세라-히알 속수분 앰플의 주요 효능·효과와 이를 뒷받침하는 상품 근거는 무엇인가요?</t>
  </si>
  <si>
    <t>Q5</t>
  </si>
  <si>
    <t>아토베리어365 세라-히알 속수분 앰플은 어떻게 사용하나요?</t>
  </si>
  <si>
    <t>Q6</t>
  </si>
  <si>
    <t>아토베리어365 세라-히알 속수분 앰플은 어떤 루틴에서 함께 쓰기 좋나요?</t>
  </si>
  <si>
    <t>Q7</t>
  </si>
  <si>
    <t>전성분에 세라-히알루론산이 없는데, 어떤 성분인가요?</t>
  </si>
  <si>
    <t>지원 종료 타입</t>
  </si>
  <si>
    <t xml:space="preserve">  온페이지 기본 · 인용 적합도 (휴리스틱)</t>
  </si>
  <si>
    <t xml:space="preserve">  엔진이 단락 단위로 인용한다는 전제에서 본 구조 신호입니다. 수치는 JS 미실행 HTML 기준입니다.</t>
  </si>
  <si>
    <t>URL</t>
  </si>
  <si>
    <t>https://www.aestura.com/web/product/view.do?prdSeq=1131</t>
  </si>
  <si>
    <t>HTTP / 크기 / 응답</t>
  </si>
  <si>
    <t>200 · 321KB · 836ms</t>
  </si>
  <si>
    <t>title</t>
  </si>
  <si>
    <t>아토베리어365 세라-히알 속수분 앰플 | AESTURA (31자)</t>
  </si>
  <si>
    <t>meta description</t>
  </si>
  <si>
    <t>민감피부엔 강력한 수분홀딩 차세대 세라-히알루론산™ 속수분 앰플</t>
  </si>
  <si>
    <t>h1</t>
  </si>
  <si>
    <t>※ MCL (메디컬 카운셀링 라이브) 회원 개인정보 수집 ·동의 (선택) | ※ MCL (메디컬 카운셀링 라이브) 회원 광고성 정보 수신여부</t>
  </si>
  <si>
    <t>h2</t>
  </si>
  <si>
    <t>0개</t>
  </si>
  <si>
    <t>h3</t>
  </si>
  <si>
    <t>2개</t>
  </si>
  <si>
    <t>canonical</t>
  </si>
  <si>
    <t>lang / content-language</t>
  </si>
  <si>
    <t>ko / ko</t>
  </si>
  <si>
    <t>robots 지시자</t>
  </si>
  <si>
    <t>—</t>
  </si>
  <si>
    <t>noindex / snippet 차단</t>
  </si>
  <si>
    <t>— / —</t>
  </si>
  <si>
    <t>hreflang</t>
  </si>
  <si>
    <t>Open Graph</t>
  </si>
  <si>
    <t>og:title 있음 · og:description 있음</t>
  </si>
  <si>
    <t>이미지</t>
  </si>
  <si>
    <t>131개 · alt 누락 17</t>
  </si>
  <si>
    <t>본문</t>
  </si>
  <si>
    <t>16,408자 · 4,485어절 · 단락 86 · 리스트 46 · 표 3 · 영상 0</t>
  </si>
  <si>
    <t>SSR — JS 없이 본문·JSON-LD 취득</t>
  </si>
  <si>
    <t>llms.txt 없음 · llms-full.txt 없음 · sitemap.xml 있음</t>
  </si>
  <si>
    <t>네이버 서치어드바이저 메타</t>
  </si>
  <si>
    <t>미검출</t>
  </si>
  <si>
    <t>정의문 패턴 (초반 1,200자)</t>
  </si>
  <si>
    <t>없음</t>
  </si>
  <si>
    <t>질문형 헤딩</t>
  </si>
  <si>
    <t>인용 후보 단락 (180~700자)</t>
  </si>
  <si>
    <t>20개</t>
  </si>
  <si>
    <t>수치 문장</t>
  </si>
  <si>
    <t>10개</t>
  </si>
  <si>
    <t>날짜 신호</t>
  </si>
  <si>
    <t>첫 단락</t>
  </si>
  <si>
    <t>잘 사용중입니다. 처음에 사은품 받아서 사용해보고 마음에들어서 계속 사용하고있어요. 최근 피부에 잔주름이 많이 생기고 건조해서 고민이었는데 제품 사용하고 많이 좋아졌어요. 소량만 발라도 부드럽게 발라지고 잘 스며들어서 피부가 촉촉해서 좋습니다. 사은품도 양이많고 꽤 오래쓸수 있어서 좋아요.</t>
  </si>
  <si>
    <t xml:space="preserve">  엔진별 준비도 · 우선 액션 · 외부 채널 · 재해석 (AI 진단)</t>
  </si>
  <si>
    <t xml:space="preserve">  기술 진단 데이터를 근거로 Claude가 엔진별로 분리해 작성한 처방입니다. 확인되지 않은 항목은 한계에 표기했습니다.</t>
  </si>
  <si>
    <t>우선 액션</t>
  </si>
  <si>
    <t>순위</t>
  </si>
  <si>
    <t>액션</t>
  </si>
  <si>
    <t>왜</t>
  </si>
  <si>
    <t>Product 스키마에 availability·sku·gtin13·seller 추가</t>
  </si>
  <si>
    <t>ChatGPT 커머스 카드 후보 진입 요건</t>
  </si>
  <si>
    <t>ChatGPT · Gemini</t>
  </si>
  <si>
    <t>제품명 h1 + 질문형 h2 구조로 본문 재편</t>
  </si>
  <si>
    <t>query fan-out 단위 인용</t>
  </si>
  <si>
    <t>Gemini · Perplexity · 네이버</t>
  </si>
  <si>
    <t>가격·리뷰 수를 화면에도 표시하거나 커머스몰로 위임</t>
  </si>
  <si>
    <t>Gemini · ChatGPT</t>
  </si>
  <si>
    <t>첫 단락에 정의문 + dateModified 표기</t>
  </si>
  <si>
    <t>정의문 우선 인용·최신성 가중</t>
  </si>
  <si>
    <t>네이버 · Perplexity</t>
  </si>
  <si>
    <t>Organization·sameAs로 엔티티 연결</t>
  </si>
  <si>
    <t>Knowledge Graph 인식</t>
  </si>
  <si>
    <t>외부 채널 액션 (Path B)</t>
  </si>
  <si>
    <t>화해·글로우픽 리뷰 플랫폼에 제품명+브랜드명 결합 표기 유도</t>
  </si>
  <si>
    <t>네이버 공식 블로그에서 '세라-히알루론산™' 문장 반복 발행</t>
  </si>
  <si>
    <t>유튜브 성분 설명 영상에 텍스트 요약 첨부</t>
  </si>
  <si>
    <t>재해석</t>
  </si>
  <si>
    <t>이 사이트의 자산은 제품이 아니라 피부 과학 지식이다. 성분·증상 질문에서 답하는 실험이 다음 대상이다.</t>
  </si>
  <si>
    <t xml:space="preserve">  AI 인용 출처 전수 기록 템플릿</t>
  </si>
  <si>
    <t xml:space="preserve">  실측 시 응답에 표기된 인용 출처를 질문 단위로 귀속해 전수 기록합니다. 인용 출처를 산출하는 엔진은 주로 Perplexity·Gemini이며 ChatGPT·Claude는 미산출인 경우가 많습니다. 출처 유형: 자사 / 그룹(커머스몰) / 이커머스 / 리뷰 플랫폼 / 블로그 / 영상 / 커뮤니티 / 미디어 / 학술·의료기관 / 기타.</t>
  </si>
  <si>
    <t>질문 No</t>
  </si>
  <si>
    <t>인용 순위</t>
  </si>
  <si>
    <t>출처 유형</t>
  </si>
  <si>
    <t>자사 여부</t>
  </si>
  <si>
    <t>인용 도메인</t>
  </si>
  <si>
    <t>인용 URL</t>
  </si>
  <si>
    <t xml:space="preserve">  ※ 집계 지표: 자사 도메인 인용 비중 · 자사 인용 순위 · 상위 도메인 20 · 유형별 분포. 자사 문구가 답변에 등장할 때 출처가 자사인지(직접 인용, 정확하지만 순위 낮음) 외부 채널인지(경유 인용, 순위 높음)를 분리해 보고합니다.</t>
  </si>
  <si>
    <t xml:space="preserve">  집계 방식 및 데이터 한계</t>
  </si>
  <si>
    <t xml:space="preserve">  수치를 해석하기 전에 아래 내용을 확인해 주십시오.</t>
  </si>
  <si>
    <t>내용</t>
  </si>
  <si>
    <t>측정 시점</t>
  </si>
  <si>
    <t>본 기록은 2026-09-16 16:04 KST 단일 회차·단일 페이지입니다. robots.txt·스키마·본문은 배포에 따라 바뀌므로 개선 후 동일 기준으로 재측정해야 합니다.</t>
  </si>
  <si>
    <t>렌더링 기준</t>
  </si>
  <si>
    <t>본문·JSON-LD 수치는 JavaScript를 실행하지 않은 원본 HTML 기준입니다. 브라우저 화면과 다를 수 있으며, 그 차이 자체가 AI 크롤러가 보는 것과 사용자가 보는 것의 차이입니다.</t>
  </si>
  <si>
    <t>크롤러 판정</t>
  </si>
  <si>
    <t>robots.txt의 UA별 규칙만 판정했습니다. IP·CDN(WAF) 차단, 서버 응답 코드 차별은 서버 로그 없이는 확인할 수 없습니다. 검색용 UA와 학습용 UA 판정은 별개입니다.</t>
  </si>
  <si>
    <t>사이트 단위 항목</t>
  </si>
  <si>
    <t>전 페이지 title 중복, 스키마 적용률(전체 상세 중 적용 수), 페이지 간 노출 격차는 사이트맵 전수 크롤이 필요하며 본 기록에서는 판정하지 않았습니다.</t>
  </si>
  <si>
    <t>구조화 데이터 값이 화면 텍스트에 있는지만 대조했습니다. 실제 판매 채널(커머스몰) 가격·리뷰 수와의 일치 여부는 별도 확인이 필요합니다.</t>
  </si>
  <si>
    <t>정의문·질문형 헤딩·후보 단락·수치·날짜는 휴리스틱 지표입니다. 실제 인용 여부는 엔진 실측으로만 확인됩니다.</t>
  </si>
  <si>
    <t>AI 진단</t>
  </si>
  <si>
    <t>엔진별 준비도·처방·질문 설계는 기술 진단 데이터를 근거로 Claude가 작성했습니다. 데이터로 확인되지 않은 추론은 caveats에 표기하도록 지시했으나, 실측 전 가설로 취급하십시오.</t>
  </si>
  <si>
    <t>실측 미수행</t>
  </si>
  <si>
    <t>본 기록은 비브랜드 질문 × 엔진 실측(언급·순위·인용 URL) 전 단계입니다. 02·08 시트 템플릿으로 실측을 수행하면 언급 점유율·1순위·자사 인용 비중·경쟁사 동시 호명을 집계할 수 있습니다.</t>
  </si>
  <si>
    <t>집계 원칙</t>
  </si>
  <si>
    <t>언급 집계는 브랜드명 매칭 기준이면 제품명 단독 등장을 놓칩니다. 원문 대조로 보정합니다. 단일 회차 수치는 성과 지표로 쓰지 않고 추세로 판정합니다. 네이버 결과는 글로벌 엔진과 합산하지 않습니다.</t>
  </si>
  <si>
    <t>AI 진단이 명시한 한계</t>
  </si>
  <si>
    <t>단일 페이지·단일 시점</t>
  </si>
  <si>
    <t>엔진 실측 미수행</t>
  </si>
  <si>
    <t>판매 채널 가격 대조 미수행</t>
  </si>
  <si>
    <t>브랜드 정보는 페이지에서 추정</t>
  </si>
  <si>
    <t>수치 일부는 [확인 필요] 플레이스홀더</t>
  </si>
  <si>
    <t>작성</t>
  </si>
  <si>
    <t>NMG · CTCH · 2026년 9월 16일</t>
  </si>
  <si>
    <t xml:space="preserve">  AEO 콘텐츠 구조화 — 여정별 질의 10선 × 질문형 H2 × Direct Answer</t>
  </si>
  <si>
    <t xml:space="preserve">  AI 검색엔진이 답변 출처로 바로 추출할 수 있도록, 각 비브랜드 질문에 대해 질문형 H2 제목과 정의문으로 시작하는 첫 100~200자 직접 답변 단락을 설계했습니다. 180~700자 자기완결 단락의 첫 부분으로 그대로 사용합니다. 수치는 확인된 것만 쓰고 없는 값은 [확인 필요]로 남겼습니다.</t>
  </si>
  <si>
    <t>여정 단계</t>
  </si>
  <si>
    <t>비브랜드 질문</t>
  </si>
  <si>
    <t>질문형 H2 제목</t>
  </si>
  <si>
    <t>Direct Answer (첫 100~200자)</t>
  </si>
  <si>
    <t>세라마이드와 히알루론산은 뭐가 다르고 왜 같이 쓰나?</t>
  </si>
  <si>
    <t>세라마이드는 피부 장벽의 지질층을 구성해 수분 증발을 막는 성분이고, 히알루론산은 자기 무게의 수백 배 수분을 끌어당겨 각질층에 채우는 성분입니다. 두 성분을 함께 쓰면 '채우기'와 '가두기'가 동시에 일어나 속당김이 빨리 완화됩니다. 세라-히알루론산™은 두 성분을 결합한 독자 원료입니다.</t>
  </si>
  <si>
    <t>피부 장벽이 무너지면 어떤 증상이 나타나고 어떻게 회복하나?</t>
  </si>
  <si>
    <t>세라마이드랑 히알루론산 결합된 속수분 앰플 추천해줘?</t>
  </si>
  <si>
    <t>민감성 피부용 수분 앰플 성분 비교 기준이 뭐야?</t>
  </si>
  <si>
    <t>화장품 알레르기 있는 피부에 쓸 수 있는 저자극 앰플은?</t>
  </si>
  <si>
    <t>앰플 바르고 72시간 보습 유지된다는 건 어떤 기준으로 측정하나?</t>
  </si>
  <si>
    <t>임상시험으로 속수분 3배 충전이 입증된 앰플 뭐가 있어?</t>
  </si>
  <si>
    <t>피부과 전문의가 추천하는 민감성 앰플 고르는 법?</t>
  </si>
  <si>
    <t>3만원대 민감성 속수분 앰플 중 리뷰 많은 제품?</t>
  </si>
  <si>
    <t>FAQ 스니펫 — 페이지 하단 Q&amp;A 블록 (본문과 FAQPage 스키마에 동일 문장 사용)</t>
  </si>
  <si>
    <t>답변 (2~3문장, 독립 완결)</t>
  </si>
  <si>
    <t>세라마이드와 히알루론산을 같이 써도 되나요?</t>
  </si>
  <si>
    <t>네. 히알루론산이 수분을 끌어당기고 세라마이드가 그 수분을 가두는 역할이라 함께 쓰면 보습 지속력이 높아집니다. 순서는 히알루론산(앰플) → 세라마이드(크림)입니다.</t>
  </si>
  <si>
    <t>속수분 3배 충전은 어떤 기준인가요?</t>
  </si>
  <si>
    <t>인체적용시험에서 사용 직후 각질층 수분량이 사용 전 대비 3배로 측정된 결과입니다. 측정 조건은 [확인 필요: 시험 기관·n수·측정 시점].</t>
  </si>
  <si>
    <t>민감성 피부도 매일 사용할 수 있나요?</t>
  </si>
  <si>
    <t>민감성 피부 대상 저자극 테스트를 완료했습니다. 처음 사용 시 팔 안쪽에 소량 발라 24시간 반응을 확인한 뒤 얼굴에 사용하세요.</t>
  </si>
  <si>
    <t>앰플은 스킨케어 단계 중 언제 바르나요?</t>
  </si>
  <si>
    <t>세안 후 토너 다음, 크림 전에 바릅니다. 물기가 살짝 남은 상태에서 바르면 수분 흡수가 좋아집니다.</t>
  </si>
  <si>
    <t>72시간 보습 지속은 하루 한 번 바르면 되나요?</t>
  </si>
  <si>
    <t>72시간은 1회 도포 후 수분량이 기준선 이상으로 유지된 시험 결과입니다. 일상에서는 세안으로 씻겨 나가므로 아침·저녁 사용을 권장합니다.</t>
  </si>
  <si>
    <t>요약 표 (Comparison / Summary Table) — 민감성 속수분 앰플 비교 기준</t>
  </si>
  <si>
    <t>기준</t>
  </si>
  <si>
    <t>이 제품</t>
  </si>
  <si>
    <t>일반 히알루론산 앰플</t>
  </si>
  <si>
    <t>확인 방법</t>
  </si>
  <si>
    <t>핵심 성분</t>
  </si>
  <si>
    <t>세라-히알루론산™(결합형)</t>
  </si>
  <si>
    <t>히알루론산 단독</t>
  </si>
  <si>
    <t>전성분표</t>
  </si>
  <si>
    <t>속수분 충전</t>
  </si>
  <si>
    <t>5분 후 3배 (인체적용시험)</t>
  </si>
  <si>
    <t>[확인 필요]</t>
  </si>
  <si>
    <t>임상 자료</t>
  </si>
  <si>
    <t>보습 지속</t>
  </si>
  <si>
    <t>72시간</t>
  </si>
  <si>
    <t>저자극 테스트</t>
  </si>
  <si>
    <t>완료</t>
  </si>
  <si>
    <t>제품 페이지</t>
  </si>
  <si>
    <t>가격(정가)</t>
  </si>
  <si>
    <t>33,000원</t>
  </si>
  <si>
    <t>판매 채널</t>
  </si>
  <si>
    <t xml:space="preserve">  ※ 적용 순서: ① H2 제목을 본문 소제목으로 → ② Direct Answer를 그 아래 첫 단락으로 → ③ 필요 시 180~700자로 확장(근거·수치·출처 추가) → ④ FAQ 블록을 페이지 하단에 삽입하고 13_JSON-LD의 FAQPage와 문장을 일치시킴 → ⑤ 요약 표는 HTML &lt;table&gt;로 본문에 배치.</t>
  </si>
  <si>
    <t xml:space="preserve">  GEO 전략 — Citable Snippet · Two Paths 실행안 · 브랜드 엔티티 매핑</t>
  </si>
  <si>
    <t xml:space="preserve">  AI가 신뢰성 높은 수치·데이터로 인용할 고유 문장을 자사 페이지에 심고(Path A), 그 문장이 외부 채널로 옮겨 적히게 하는(Path B) 연계 전략입니다. [확인 필요] 표기는 실제 값을 채운 뒤 게시합니다.</t>
  </si>
  <si>
    <t>Citable Snippet 5선</t>
  </si>
  <si>
    <t>Citable Snippet</t>
  </si>
  <si>
    <t>근거 (데이터 출처·확인 필요 여부)</t>
  </si>
  <si>
    <t>심을 위치</t>
  </si>
  <si>
    <t>타깃 엔진</t>
  </si>
  <si>
    <t>에스트라 아토베리어365 세라-히알 속수분 앰플은 세라마이드와 히알루론산을 결합한 독자 원료 '세라-히알루론산™'을 적용해, 인체적용시험에서 사용 5분 후 각질층 수분량이 3배로 증가하고 72시간 유지되었다.</t>
  </si>
  <si>
    <t>additionalProperty·FAQ 원문 수치 — 시험 조건은 확인 필요</t>
  </si>
  <si>
    <t>상세페이지 첫 단락 · Product.description · 보도자료 리드</t>
  </si>
  <si>
    <t>소듐하이알루로네이트 1,001ppm과 세라마이드 NP, 하이드록시프로필비스팔미타마이드 MEA 210ppm을 함유한다.</t>
  </si>
  <si>
    <t>공식 전성분 함량 — ChatGPT 후속 질의에서 인용된 수치</t>
  </si>
  <si>
    <t>성분 섹션 표 + FAQ</t>
  </si>
  <si>
    <t>[확인 필요: 피부과 전문의 공동 개발 여부] 민감성 피부 대상 저자극 테스트를 완료했다.</t>
  </si>
  <si>
    <t>페이지 인증 표기 — 기관명 확인 필요</t>
  </si>
  <si>
    <t>인증 섹션 · Product.hasCertification</t>
  </si>
  <si>
    <t>Gemini · 네이버</t>
  </si>
  <si>
    <t>리뷰 [확인 필요: 1,047 vs 2,800] 건 · 평점 4.8 (aestura.com 기준, 2026-09)</t>
  </si>
  <si>
    <t>aggregateRating — 판매 채널 값과 불일치</t>
  </si>
  <si>
    <t>화면 표시 + aggregateRating 정합</t>
  </si>
  <si>
    <t>에스트라는 아모레퍼시픽의 더마 브랜드로 Derma Lab에서 기초 연구 논문 약 470건·특허 약 240건을 보유한다.</t>
  </si>
  <si>
    <t>브랜드 자산 — 사용자 입력/브랜드 페이지 확인 필요</t>
  </si>
  <si>
    <t>Organization.description · About 페이지 첫 단락</t>
  </si>
  <si>
    <t>Gemini · Claude · Perplexity</t>
  </si>
  <si>
    <t>Two Paths 실행안 — Path A: 자사 직접 인용 (Gemini · AI Overviews)</t>
  </si>
  <si>
    <t>A1</t>
  </si>
  <si>
    <t>상세페이지 첫 단락을 정의문으로 시작하고 스니펫 1을 그대로 배치</t>
  </si>
  <si>
    <t>A2</t>
  </si>
  <si>
    <t>FAQ 7문항을 질문형 H2 + 2~3문장 답으로 본문에 노출(스키마와 동일 문장)</t>
  </si>
  <si>
    <t>A3</t>
  </si>
  <si>
    <t>성분 함량 표를 HTML 표로 본문에 추가 (스니펫 2)</t>
  </si>
  <si>
    <t>A4</t>
  </si>
  <si>
    <t>Product.description·Organization.description에 스니펫 1·5 반영</t>
  </si>
  <si>
    <t>A5</t>
  </si>
  <si>
    <t>datePublished/dateModified 표기</t>
  </si>
  <si>
    <t>Two Paths 실행안 — Path B: 외부 채널 경유 (Perplexity · 네이버 · ChatGPT)</t>
  </si>
  <si>
    <t>B1</t>
  </si>
  <si>
    <t>네이버 공식 블로그에서 스니펫 1·2를 그대로 인용한 성분 설명 글 월 2회 발행(C-Rank 누적)</t>
  </si>
  <si>
    <t>B2</t>
  </si>
  <si>
    <t>화해·글로우픽 제품 소개문을 '에스트라 아토베리어365 세라-히알 속수분 앰플'로 브랜드명+제품명 결합 표기 통일</t>
  </si>
  <si>
    <t>B3</t>
  </si>
  <si>
    <t>유튜브 성분 설명 영상 설명란에 스니펫 텍스트 첨부</t>
  </si>
  <si>
    <t>B4</t>
  </si>
  <si>
    <t>피부과 전문의 인터뷰 보도자료에 스니펫 5 포함</t>
  </si>
  <si>
    <t>B5</t>
  </si>
  <si>
    <t>지식iN 전문가 답변에 세라마이드·히알루론산 원리 설명 + 스니펫 1</t>
  </si>
  <si>
    <t>브랜드 엔티티(Entity) 키워드 매핑 — Knowledge Graph 연동</t>
  </si>
  <si>
    <t>엔티티</t>
  </si>
  <si>
    <t>카테고리 / 핵심 키워드</t>
  </si>
  <si>
    <t>보조 키워드</t>
  </si>
  <si>
    <t>sameAs 후보</t>
  </si>
  <si>
    <t>스키마 표현</t>
  </si>
  <si>
    <t>에스트라(AESTURA)</t>
  </si>
  <si>
    <t xml:space="preserve">더마 코스메틱 브랜드
핵심: 민감성 피부 장벽 · 더마 브랜드</t>
  </si>
  <si>
    <t xml:space="preserve">아모레퍼시픽
Derma Lab
메디뷰티</t>
  </si>
  <si>
    <t xml:space="preserve">Wikipedia/Wikidata 항목
네이버 브랜드스토어
공식 인스타그램</t>
  </si>
  <si>
    <t>Organization.sameAs · parentOrganization</t>
  </si>
  <si>
    <t>아토베리어365</t>
  </si>
  <si>
    <t xml:space="preserve">민감성 장벽 케어 라인
핵심: 세라마이드 크림 · 장벽 크림</t>
  </si>
  <si>
    <t xml:space="preserve">120시간 보습
더마온 캡슐</t>
  </si>
  <si>
    <t xml:space="preserve">화해 제품 페이지
글로우픽</t>
  </si>
  <si>
    <t>ProductGroup</t>
  </si>
  <si>
    <t>세라-히알루론산™</t>
  </si>
  <si>
    <t xml:space="preserve">독자 원료
핵심: 세라마이드 히알루론산 결합</t>
  </si>
  <si>
    <t xml:space="preserve">속수분
3배 충전</t>
  </si>
  <si>
    <t>특허 문서 링크</t>
  </si>
  <si>
    <t>Product.additionalProperty · material</t>
  </si>
  <si>
    <t xml:space="preserve">  ※ 원본은 하나, 도달 경로는 둘입니다. Path A는 정보가 정확하지만 순위가 2~3위에 머물고, Path B는 자사 도메인 인용이 없어도 1순위를 만듭니다. 두 경로 모두 같은 문장(스니펫)을 써야 시너지가 납니다. 브랜드명+제품명 결합 표기를 외부 채널에서도 통일하세요.</t>
  </si>
  <si>
    <t xml:space="preserve">  AI 검색 SOV(Share of Voice) 실측 가이드</t>
  </si>
  <si>
    <t xml:space="preserve">  5대 엔진(ChatGPT · Gemini · Perplexity · Claude · 네이버 AI 브리핑)에 동일 조건(세션 초기화·로그아웃·대화 이력 없음)으로 질의하고, 응답 원문과 인용 URL을 전수 보관합니다. 결과는 02_응답매트릭스와 08_인용출처에 기록합니다.</t>
  </si>
  <si>
    <t>① 테스트 프롬프트 세트 (그대로 붙여 넣기)</t>
  </si>
  <si>
    <t>입력 프롬프트</t>
  </si>
  <si>
    <t>엔진별 기록 주의</t>
  </si>
  <si>
    <t>네이버는 통합검색창에 입력하고 AI 브리핑 트리거 여부를 먼저 기록</t>
  </si>
  <si>
    <t>ChatGPT는 쇼핑 카드(가격·리뷰수·판매처) 형식 여부 기록</t>
  </si>
  <si>
    <t>Perplexity는 출처 20개를 전수 기록</t>
  </si>
  <si>
    <t>② 실측 기록 표준 체크리스트 (응답 1건마다 기록)</t>
  </si>
  <si>
    <t>기록 방법</t>
  </si>
  <si>
    <t>기록 예</t>
  </si>
  <si>
    <t>언급 여부</t>
  </si>
  <si>
    <t>응답 본문에 브랜드명 또는 제품명이 등장하면 '언급', 아니면 '미언급'. 제품명만 등장하고 브랜드명이 없으면 '집계 외 실질 노출'로 별도 표기</t>
  </si>
  <si>
    <t>언급 / 미언급 / 제품명만</t>
  </si>
  <si>
    <t>1순위 추천 여부</t>
  </si>
  <si>
    <t>추천 목록의 첫 번째 위치면 1, 아니면 순위 숫자. 목록형이 아니면 서술 순서 기준</t>
  </si>
  <si>
    <t>1 · 2 · 3 · —</t>
  </si>
  <si>
    <t>자사 URL 직접 인용 비중</t>
  </si>
  <si>
    <t>응답에 표기된 인용 URL 중 자사 도메인 수 / 전체 인용 수. 인용을 산출하지 않는 엔진(ChatGPT·Claude)은 '미산출'</t>
  </si>
  <si>
    <t>1/20 (5%) · 미산출</t>
  </si>
  <si>
    <t>외부 채널 인용 출처</t>
  </si>
  <si>
    <t>인용 URL을 유형별로 분류(블로그·영상·리뷰 플랫폼·커뮤니티·미디어·커머스·학술). 자사 문구가 외부 채널을 거쳐 등장했는지(Path B) 표기</t>
  </si>
  <si>
    <t>blog.naver.com 3 · youtube 2 · 화해 1</t>
  </si>
  <si>
    <t>경쟁사 동시 호명 양상</t>
  </si>
  <si>
    <t>같은 응답에 등장한 경쟁 브랜드와 그 순위. 등록 경쟁사 외에 실제로 자리를 차지한 브랜드를 추가 기록</t>
  </si>
  <si>
    <t>A사 1위 · B사 2위 · 자사 4위</t>
  </si>
  <si>
    <t>③ 결과 해석 · 개선 의사결정 트리 (기술 차단/SEO 부재 → 인용 적합도 → 엔티티·외부 채널)</t>
  </si>
  <si>
    <t>단계</t>
  </si>
  <si>
    <t>점검 질문</t>
  </si>
  <si>
    <t>이 페이지 판정</t>
  </si>
  <si>
    <t>미충족 시 조치</t>
  </si>
  <si>
    <t>충족 시</t>
  </si>
  <si>
    <t>검색용 크롤러(OAI-SearchBot·Googlebot·Claude-SearchBot·PerplexityBot·Yeti)와 색인 지시자가 열려 있는가</t>
  </si>
  <si>
    <t>통과 — 6/6 허용, noindex·nosnippet 없음</t>
  </si>
  <si>
    <t>robots.txt·CDN 차단 해제, 지시자 제거 후 재측정</t>
  </si>
  <si>
    <t>2단계로</t>
  </si>
  <si>
    <t>JS 없이 본문·JSON-LD가 노출되는가(SSR)</t>
  </si>
  <si>
    <t>통과 — 본문 16,408자, JSON-LD 1블록</t>
  </si>
  <si>
    <t>SSR/프리렌더 적용</t>
  </si>
  <si>
    <t>3단계로</t>
  </si>
  <si>
    <t>title·h1·h2·description이 페이지 주제를 확정하는가</t>
  </si>
  <si>
    <t>미충족 — h1이 약관 모달, h2 0개</t>
  </si>
  <si>
    <t>제품명 h1, 질문형 h2 도입</t>
  </si>
  <si>
    <t>4단계로</t>
  </si>
  <si>
    <t>구조화 데이터가 완결되고 화면과 일치하는가</t>
  </si>
  <si>
    <t>부분 — Product 커머스 필드 누락, 가격·리뷰 화면 미표시</t>
  </si>
  <si>
    <t>필드 보완 또는 커머스몰 위임, 값 화면 표시</t>
  </si>
  <si>
    <t>5단계로</t>
  </si>
  <si>
    <t>정의문·질문형 헤딩·자기완결 단락·수치·날짜가 있는가</t>
  </si>
  <si>
    <t>부분 — 후보 단락 20개, 정의문·질문형 헤딩·날짜 없음</t>
  </si>
  <si>
    <t>AEO 콘텐츠 설계(모듈 1) 적용</t>
  </si>
  <si>
    <t>6단계로</t>
  </si>
  <si>
    <t>엔티티(sameAs)·외부 채널에 자사 문장이 옮겨 적혀 있는가</t>
  </si>
  <si>
    <t>미충족 — Organization 노드 없음, 실측 전</t>
  </si>
  <si>
    <t>Two Paths 실행안(모듈 2) 적용</t>
  </si>
  <si>
    <t>실측으로 SOV 확인</t>
  </si>
  <si>
    <t xml:space="preserve">  ※ 집계: AI 언급 점유율(언급/총 응답 50), 엔진별 1순위 수, 자사 도메인 인용 비중(Perplexity·Gemini 기준), 인용 경로(직접 vs 외부 경유), 경쟁사 동시 호명, 여정 단계별 언급률. 단일 회차 수치는 성과 지표로 쓰지 않고 동일 조건 재측정으로 추세를 봅니다. 네이버는 글로벌 엔진과 합산하지 않습니다.</t>
  </si>
  <si>
    <t xml:space="preserve">  업종 맞춤 JSON-LD 구조화 데이터 제안</t>
  </si>
  <si>
    <t xml:space="preserve">  업종 판정: 커머스(Product) — Product·offers·aggregateRating이 있고 상품 상세 URL 구조</t>
  </si>
  <si>
    <t>업종</t>
  </si>
  <si>
    <t>커머스(Product)</t>
  </si>
  <si>
    <t>판정 근거</t>
  </si>
  <si>
    <t>Product·offers·aggregateRating이 있고 상품 상세 URL 구조</t>
  </si>
  <si>
    <t>적용 메모</t>
  </si>
  <si>
    <t xml:space="preserve">· [확인 필요] 플레이스홀더 6곳을 채운 뒤 Rich Results Test로 검증
· 가격·리뷰 값은 화면에도 표시하거나 커머스몰 URL로 위임
· HowTo는 리치결과 종료로 신규 추가하지 않음</t>
  </si>
  <si>
    <t>기존 JSON-LD</t>
  </si>
  <si>
    <t>1블록 · 타입 WebPage, Product, FAQPage, HowTo, BreadcrumbList</t>
  </si>
  <si>
    <t>삽입 코드 — &lt;head&gt; 안 또는 &lt;/body&gt; 직전에 그대로 붙여 넣기 ([확인 필요] 값을 채운 뒤)</t>
  </si>
  <si>
    <t>JSON-LD</t>
  </si>
  <si>
    <t xml:space="preserve">&lt;script type="application/ld+json"&gt;
{
  "@context": "https://schema.org",
  "@graph": [
    { "@type": "Organization", "@id": "https://www.aestura.com/#org", "name": "AESTURA", "url": "https://www.aestura.com/", "sameAs": ["[확인 필요: Wikipedia]", "[확인 필요: 인스타그램]"] },
    { "@type": "Product", "@id": "https://www.aestura.com/web/product/view.do?prdSeq=1131#product", "name": "아토베리어365 세라-히알 속수분 앰플", "brand": { "@id": "https://www.aestura.com/#org" }, "sku": "[확인 필요]", "gtin13": "[확인 필요]", "offers": { "@type": "Offer", "price": "33000", "priceCurrency": "KRW", "availability": "https://schema.org/InStock", "priceValidUntil": "[확인 필요: YYYY-MM-DD]", "seller": { "@id": "https://www.aestura.com/#org" } }, "aggregateRating": { "@type": "AggregateRating", "ratingValue": "4.8", "reviewCount": "1047" } },
    { "@type": "FAQPage", "@id": "https://www.aestura.com/web/product/view.do?prdSeq=1131#faq", "mainEntity": [ { "@type": "Question", "name": "세라마이드와 히알루론산을 같이 써도 되나요?", "acceptedAnswer": { "@type": "Answer", "text": "네. …" } } ] }
  ]
}
&lt;/script&gt;</t>
  </si>
  <si>
    <t xml:space="preserve">  ※ 검증: Google Rich Results Test(search.google.com/test/rich-results) · Schema Markup Validator(validator.schema.org). 구조화 데이터의 가격·리뷰·평점 값은 화면에도 표시해 정합성을 맞추고, 판매하지 않는 브랜드 사이트라면 가격·재고는 커머스몰 URL로 위임합니다.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</si>
</sst>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color theme="1"/>
      <family val="2"/>
      <scheme val="minor"/>
      <sz val="11"/>
      <name val="Calibri"/>
    </font>
    <font>
      <b/>
      <color rgb="FF15181E"/>
      <sz val="14"/>
      <name val="Malgun Gothic"/>
    </font>
    <font>
      <color rgb="FF767C86"/>
      <sz val="9"/>
      <name val="Malgun Gothic"/>
    </font>
    <font>
      <b/>
      <color rgb="FF4F46E5"/>
      <sz val="10"/>
      <name val="Malgun Gothic"/>
    </font>
    <font>
      <b/>
      <color rgb="FFFFFFFF"/>
      <sz val="9"/>
      <name val="Malgun Gothic"/>
    </font>
    <font>
      <b/>
      <color rgb="FF15181E"/>
      <sz val="9"/>
      <name val="Malgun Gothic"/>
    </font>
    <font>
      <color rgb="FF15181E"/>
      <sz val="9"/>
      <name val="Malgun Gothic"/>
    </font>
    <font>
      <color rgb="FFC0392B"/>
      <sz val="9"/>
      <name val="Malgun Gothic"/>
    </font>
    <font>
      <color rgb="FFB4690E"/>
      <sz val="9"/>
      <name val="Malgun Gothic"/>
    </font>
    <font>
      <color rgb="FF4F46E5"/>
      <sz val="9"/>
      <name val="Malgun Gothic"/>
    </font>
    <font>
      <color rgb="FF767C86"/>
      <sz val="8.5"/>
      <name val="Malgun Gothic"/>
    </font>
    <font>
      <color rgb="FF128A6B"/>
      <sz val="9"/>
      <name val="Malgun Gothic"/>
    </font>
    <font>
      <color rgb="FF15181E"/>
      <sz val="9"/>
      <name val="Consolas"/>
    </font>
  </fonts>
  <fills count="4">
    <fill>
      <patternFill patternType="none"/>
    </fill>
    <fill>
      <patternFill patternType="gray125"/>
    </fill>
    <fill>
      <patternFill patternType="solid">
        <fgColor rgb="FF15181E"/>
      </patternFill>
    </fill>
    <fill>
      <patternFill patternType="solid">
        <fgColor rgb="FFF6F6F4"/>
      </patternFill>
    </fill>
  </fills>
  <borders count="3">
    <border>
      <left/>
      <right/>
      <top/>
      <bottom/>
      <diagonal/>
    </border>
    <border>
      <left/>
      <right/>
      <top/>
      <bottom style="thin">
        <color rgb="FFE6E6E2"/>
      </bottom>
      <diagonal/>
    </border>
    <border>
      <left/>
      <right/>
      <top/>
      <bottom style="hair">
        <color rgb="FFE6E6E2"/>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0" borderId="0" xfId="0" applyFont="1"/>
    <xf numFmtId="0" fontId="4" fillId="2" borderId="1" xfId="0" applyFont="1" applyFill="1" applyBorder="1" applyAlignment="1">
      <alignment vertical="center" wrapText="1"/>
    </xf>
    <xf numFmtId="0" fontId="5"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vertical="top" wrapText="1"/>
    </xf>
    <xf numFmtId="0" fontId="8" fillId="0" borderId="2" xfId="0" applyFont="1" applyBorder="1" applyAlignment="1">
      <alignment vertical="top" wrapText="1"/>
    </xf>
    <xf numFmtId="0" fontId="9" fillId="0" borderId="2" xfId="0" applyFont="1" applyBorder="1" applyAlignment="1">
      <alignment vertical="top" wrapText="1"/>
    </xf>
    <xf numFmtId="0" fontId="10" fillId="0" borderId="0" xfId="0" applyFont="1" applyAlignment="1">
      <alignment vertical="top" wrapText="1"/>
    </xf>
    <xf numFmtId="0" fontId="5" fillId="3" borderId="0" xfId="0" applyFont="1" applyFill="1"/>
    <xf numFmtId="164" fontId="5" fillId="3" borderId="0" xfId="0" applyNumberFormat="1" applyFont="1" applyFill="1"/>
    <xf numFmtId="0" fontId="2" fillId="0" borderId="2" xfId="0" applyFont="1" applyBorder="1" applyAlignment="1">
      <alignment vertical="top" wrapText="1"/>
    </xf>
    <xf numFmtId="0" fontId="11" fillId="0" borderId="2" xfId="0" applyFont="1" applyBorder="1" applyAlignment="1">
      <alignment vertical="top" wrapText="1"/>
    </xf>
    <xf numFmtId="0" fontId="5" fillId="0" borderId="0" xfId="0" applyFont="1"/>
    <xf numFmtId="0" fontId="1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22" customWidth="1"/>
    <col min="2" max="2" width="26" customWidth="1"/>
    <col min="3" max="5" width="16" customWidth="1"/>
    <col min="6" max="6" width="18" customWidth="1"/>
    <col min="7" max="8" width="22" customWidth="1"/>
  </cols>
  <sheetData>
    <row r="1" ht="28" customHeight="1" spans="1:8" x14ac:dyDescent="0.25">
      <c r="A1" s="1" t="s">
        <v>0</v>
      </c>
      <c r="B1" s="1"/>
      <c r="C1" s="1"/>
      <c r="D1" s="1"/>
      <c r="E1" s="1"/>
      <c r="F1" s="1"/>
      <c r="G1" s="1"/>
      <c r="H1" s="1"/>
    </row>
    <row r="2" ht="30" customHeight="1" spans="1:8" x14ac:dyDescent="0.25">
      <c r="A2" s="2" t="s">
        <v>1</v>
      </c>
      <c r="B2" s="2"/>
      <c r="C2" s="2"/>
      <c r="D2" s="2"/>
      <c r="E2" s="2"/>
      <c r="F2" s="2"/>
      <c r="G2" s="2"/>
      <c r="H2" s="2"/>
    </row>
    <row r="5" spans="1:1" x14ac:dyDescent="0.25">
      <c r="A5" s="3" t="s">
        <v>2</v>
      </c>
    </row>
    <row r="6" ht="22" customHeight="1" spans="1:8" x14ac:dyDescent="0.25">
      <c r="A6" s="4" t="s">
        <v>3</v>
      </c>
      <c r="B6" s="4" t="s">
        <v>4</v>
      </c>
      <c r="C6" s="4" t="s">
        <v>5</v>
      </c>
      <c r="D6" s="4" t="s">
        <v>6</v>
      </c>
      <c r="E6" s="4" t="s">
        <v>7</v>
      </c>
      <c r="F6" s="4" t="s">
        <v>8</v>
      </c>
      <c r="G6" s="4" t="s">
        <v>9</v>
      </c>
      <c r="H6" s="4" t="s">
        <v>10</v>
      </c>
    </row>
    <row r="7" spans="1:8" x14ac:dyDescent="0.25">
      <c r="A7" s="5" t="s">
        <v>11</v>
      </c>
      <c r="B7" s="6" t="s">
        <v>12</v>
      </c>
      <c r="C7" s="6">
        <v>16408</v>
      </c>
      <c r="D7" s="6">
        <v>1</v>
      </c>
      <c r="E7" s="6" t="s">
        <v>13</v>
      </c>
      <c r="F7" s="6" t="s">
        <v>14</v>
      </c>
      <c r="G7" s="6">
        <v>7</v>
      </c>
      <c r="H7" s="6">
        <v>20</v>
      </c>
    </row>
    <row r="9" spans="1:1" x14ac:dyDescent="0.25">
      <c r="A9" s="3" t="s">
        <v>15</v>
      </c>
    </row>
    <row r="10" spans="1:2" x14ac:dyDescent="0.25">
      <c r="A10" s="5" t="s">
        <v>16</v>
      </c>
      <c r="B10" s="6" t="s">
        <v>17</v>
      </c>
    </row>
    <row r="11" spans="1:2" x14ac:dyDescent="0.25">
      <c r="A11" s="6" t="s">
        <v>18</v>
      </c>
      <c r="B11" s="6" t="s">
        <v>19</v>
      </c>
    </row>
    <row r="12" spans="1:2" x14ac:dyDescent="0.25">
      <c r="A12" s="6" t="s">
        <v>20</v>
      </c>
      <c r="B12" s="6" t="s">
        <v>21</v>
      </c>
    </row>
    <row r="14" spans="1:1" x14ac:dyDescent="0.25">
      <c r="A14" s="3" t="s">
        <v>22</v>
      </c>
    </row>
    <row r="15" ht="22" customHeight="1" spans="1:5" x14ac:dyDescent="0.25">
      <c r="A15" s="4" t="s">
        <v>23</v>
      </c>
      <c r="B15" s="4" t="s">
        <v>24</v>
      </c>
      <c r="C15" s="4" t="s">
        <v>25</v>
      </c>
      <c r="D15" s="4" t="s">
        <v>26</v>
      </c>
      <c r="E15" s="4" t="s">
        <v>27</v>
      </c>
    </row>
    <row r="16" spans="1:5" x14ac:dyDescent="0.25">
      <c r="A16" s="5" t="s">
        <v>28</v>
      </c>
      <c r="B16" s="7" t="s">
        <v>29</v>
      </c>
      <c r="C16" s="6" t="s">
        <v>30</v>
      </c>
      <c r="D16" s="6" t="s">
        <v>31</v>
      </c>
      <c r="E16" s="6" t="s">
        <v>32</v>
      </c>
    </row>
    <row r="17" spans="1:5" x14ac:dyDescent="0.25">
      <c r="A17" s="5" t="s">
        <v>33</v>
      </c>
      <c r="B17" s="8" t="s">
        <v>34</v>
      </c>
      <c r="C17" s="6" t="s">
        <v>35</v>
      </c>
      <c r="D17" s="6" t="s">
        <v>36</v>
      </c>
      <c r="E17" s="6" t="s">
        <v>37</v>
      </c>
    </row>
    <row r="18" spans="1:5" x14ac:dyDescent="0.25">
      <c r="A18" s="5" t="s">
        <v>38</v>
      </c>
      <c r="B18" s="7" t="s">
        <v>29</v>
      </c>
      <c r="C18" s="6" t="s">
        <v>39</v>
      </c>
      <c r="D18" s="6" t="s">
        <v>40</v>
      </c>
      <c r="E18" s="6" t="s">
        <v>41</v>
      </c>
    </row>
    <row r="19" spans="1:5" x14ac:dyDescent="0.25">
      <c r="A19" s="5" t="s">
        <v>42</v>
      </c>
      <c r="B19" s="8" t="s">
        <v>34</v>
      </c>
      <c r="C19" s="6" t="s">
        <v>43</v>
      </c>
      <c r="D19" s="6" t="s">
        <v>44</v>
      </c>
      <c r="E19" s="6" t="s">
        <v>45</v>
      </c>
    </row>
    <row r="20" spans="1:5" x14ac:dyDescent="0.25">
      <c r="A20" s="5" t="s">
        <v>46</v>
      </c>
      <c r="B20" s="7" t="s">
        <v>29</v>
      </c>
      <c r="C20" s="6" t="s">
        <v>47</v>
      </c>
      <c r="D20" s="6" t="s">
        <v>48</v>
      </c>
      <c r="E20" s="6" t="s">
        <v>49</v>
      </c>
    </row>
    <row r="22" spans="1:1" x14ac:dyDescent="0.25">
      <c r="A22" s="3" t="s">
        <v>50</v>
      </c>
    </row>
    <row r="23" spans="1:2" x14ac:dyDescent="0.25">
      <c r="A23" s="5" t="s">
        <v>51</v>
      </c>
      <c r="B23" s="6" t="s">
        <v>52</v>
      </c>
    </row>
    <row r="24" spans="1:2" x14ac:dyDescent="0.25">
      <c r="A24" s="5" t="s">
        <v>53</v>
      </c>
      <c r="B24" s="6" t="s">
        <v>54</v>
      </c>
    </row>
    <row r="25" spans="1:2" x14ac:dyDescent="0.25">
      <c r="A25" s="5" t="s">
        <v>55</v>
      </c>
      <c r="B25" s="6" t="s">
        <v>56</v>
      </c>
    </row>
    <row r="26" spans="1:2" x14ac:dyDescent="0.25">
      <c r="A26" s="5" t="s">
        <v>57</v>
      </c>
      <c r="B26" s="6" t="s">
        <v>58</v>
      </c>
    </row>
    <row r="27" spans="1:2" x14ac:dyDescent="0.25">
      <c r="A27" s="5" t="s">
        <v>59</v>
      </c>
      <c r="B27" s="6" t="s">
        <v>60</v>
      </c>
    </row>
    <row r="28" spans="1:2" x14ac:dyDescent="0.25">
      <c r="A28" s="5" t="s">
        <v>61</v>
      </c>
      <c r="B28" s="6" t="s">
        <v>62</v>
      </c>
    </row>
    <row r="29" spans="1:2" x14ac:dyDescent="0.25">
      <c r="A29" s="5" t="s">
        <v>63</v>
      </c>
      <c r="B29" s="6" t="s">
        <v>64</v>
      </c>
    </row>
    <row r="30" spans="1:2" x14ac:dyDescent="0.25">
      <c r="A30" s="5" t="s">
        <v>65</v>
      </c>
      <c r="B30" s="6" t="s">
        <v>66</v>
      </c>
    </row>
    <row r="31" spans="1:2" x14ac:dyDescent="0.25">
      <c r="A31" s="5" t="s">
        <v>67</v>
      </c>
      <c r="B31" s="6" t="s">
        <v>68</v>
      </c>
    </row>
    <row r="32" spans="1:2" x14ac:dyDescent="0.25">
      <c r="A32" s="5" t="s">
        <v>69</v>
      </c>
      <c r="B32" s="6" t="s">
        <v>70</v>
      </c>
    </row>
    <row r="33" spans="1:2" x14ac:dyDescent="0.25">
      <c r="A33" s="5" t="s">
        <v>71</v>
      </c>
      <c r="B33" s="6" t="s">
        <v>72</v>
      </c>
    </row>
    <row r="34" spans="1:2" x14ac:dyDescent="0.25">
      <c r="A34" s="5" t="s">
        <v>73</v>
      </c>
      <c r="B34" s="6" t="s">
        <v>74</v>
      </c>
    </row>
    <row r="35" spans="1:2" x14ac:dyDescent="0.25">
      <c r="A35" s="5" t="s">
        <v>75</v>
      </c>
      <c r="B35" s="6" t="s">
        <v>76</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FormatPr defaultRowHeight="15" outlineLevelRow="0" outlineLevelCol="0" x14ac:dyDescent="55"/>
  <cols>
    <col min="1" max="1" width="8" customWidth="1"/>
    <col min="2" max="2" width="60" customWidth="1"/>
    <col min="3" max="3" width="10" customWidth="1"/>
    <col min="4" max="4" width="12" customWidth="1"/>
    <col min="5" max="5" width="60" customWidth="1"/>
  </cols>
  <sheetData>
    <row r="1" ht="28" customHeight="1" spans="1:5" x14ac:dyDescent="0.25">
      <c r="A1" s="1" t="s">
        <v>77</v>
      </c>
      <c r="B1" s="1"/>
      <c r="C1" s="1"/>
      <c r="D1" s="1"/>
      <c r="E1" s="1"/>
    </row>
    <row r="2" ht="30" customHeight="1" spans="1:5" x14ac:dyDescent="0.25">
      <c r="A2" s="2" t="s">
        <v>78</v>
      </c>
      <c r="B2" s="2"/>
      <c r="C2" s="2"/>
      <c r="D2" s="2"/>
      <c r="E2" s="2"/>
    </row>
    <row r="4" ht="22" customHeight="1" spans="1:5" x14ac:dyDescent="0.25">
      <c r="A4" s="4" t="s">
        <v>79</v>
      </c>
      <c r="B4" s="4" t="s">
        <v>80</v>
      </c>
      <c r="C4" s="4" t="s">
        <v>81</v>
      </c>
      <c r="D4" s="4" t="s">
        <v>82</v>
      </c>
      <c r="E4" s="4" t="s">
        <v>83</v>
      </c>
    </row>
    <row r="5" spans="1:5" x14ac:dyDescent="0.25">
      <c r="A5" s="6">
        <v>1</v>
      </c>
      <c r="B5" s="6" t="s">
        <v>84</v>
      </c>
      <c r="C5" s="6" t="s">
        <v>85</v>
      </c>
      <c r="D5" s="6" t="s">
        <v>86</v>
      </c>
      <c r="E5" s="6" t="s">
        <v>87</v>
      </c>
    </row>
    <row r="6" spans="1:5" x14ac:dyDescent="0.25">
      <c r="A6" s="6">
        <v>2</v>
      </c>
      <c r="B6" s="6" t="s">
        <v>88</v>
      </c>
      <c r="C6" s="9" t="s">
        <v>89</v>
      </c>
      <c r="D6" s="6" t="s">
        <v>86</v>
      </c>
      <c r="E6" s="6" t="s">
        <v>87</v>
      </c>
    </row>
    <row r="7" spans="1:5" x14ac:dyDescent="0.25">
      <c r="A7" s="6">
        <v>3</v>
      </c>
      <c r="B7" s="6" t="s">
        <v>90</v>
      </c>
      <c r="C7" s="6" t="s">
        <v>85</v>
      </c>
      <c r="D7" s="6" t="s">
        <v>86</v>
      </c>
      <c r="E7" s="6" t="s">
        <v>87</v>
      </c>
    </row>
    <row r="8" spans="1:5" x14ac:dyDescent="0.25">
      <c r="A8" s="6">
        <v>4</v>
      </c>
      <c r="B8" s="6" t="s">
        <v>91</v>
      </c>
      <c r="C8" s="9" t="s">
        <v>89</v>
      </c>
      <c r="D8" s="6" t="s">
        <v>92</v>
      </c>
      <c r="E8" s="6" t="s">
        <v>87</v>
      </c>
    </row>
    <row r="9" spans="1:5" x14ac:dyDescent="0.25">
      <c r="A9" s="6">
        <v>5</v>
      </c>
      <c r="B9" s="6" t="s">
        <v>93</v>
      </c>
      <c r="C9" s="6" t="s">
        <v>85</v>
      </c>
      <c r="D9" s="6" t="s">
        <v>92</v>
      </c>
      <c r="E9" s="6" t="s">
        <v>87</v>
      </c>
    </row>
    <row r="10" spans="1:5" x14ac:dyDescent="0.25">
      <c r="A10" s="6">
        <v>6</v>
      </c>
      <c r="B10" s="6" t="s">
        <v>94</v>
      </c>
      <c r="C10" s="9" t="s">
        <v>89</v>
      </c>
      <c r="D10" s="6" t="s">
        <v>95</v>
      </c>
      <c r="E10" s="6" t="s">
        <v>87</v>
      </c>
    </row>
    <row r="11" spans="1:5" x14ac:dyDescent="0.25">
      <c r="A11" s="6">
        <v>7</v>
      </c>
      <c r="B11" s="6" t="s">
        <v>96</v>
      </c>
      <c r="C11" s="6" t="s">
        <v>85</v>
      </c>
      <c r="D11" s="6" t="s">
        <v>95</v>
      </c>
      <c r="E11" s="6" t="s">
        <v>87</v>
      </c>
    </row>
    <row r="12" spans="1:5" x14ac:dyDescent="0.25">
      <c r="A12" s="6">
        <v>8</v>
      </c>
      <c r="B12" s="6" t="s">
        <v>97</v>
      </c>
      <c r="C12" s="9" t="s">
        <v>89</v>
      </c>
      <c r="D12" s="6" t="s">
        <v>95</v>
      </c>
      <c r="E12" s="6" t="s">
        <v>87</v>
      </c>
    </row>
    <row r="13" spans="1:5" x14ac:dyDescent="0.25">
      <c r="A13" s="6">
        <v>9</v>
      </c>
      <c r="B13" s="6" t="s">
        <v>98</v>
      </c>
      <c r="C13" s="6" t="s">
        <v>85</v>
      </c>
      <c r="D13" s="6" t="s">
        <v>99</v>
      </c>
      <c r="E13" s="6" t="s">
        <v>87</v>
      </c>
    </row>
    <row r="14" spans="1:5" x14ac:dyDescent="0.25">
      <c r="A14" s="6">
        <v>10</v>
      </c>
      <c r="B14" s="6" t="s">
        <v>100</v>
      </c>
      <c r="C14" s="9" t="s">
        <v>89</v>
      </c>
      <c r="D14" s="6" t="s">
        <v>99</v>
      </c>
      <c r="E14" s="6" t="s">
        <v>87</v>
      </c>
    </row>
    <row r="16" ht="36" customHeight="1" spans="1:5" x14ac:dyDescent="0.25">
      <c r="A16" s="10" t="s">
        <v>101</v>
      </c>
      <c r="B16" s="10"/>
      <c r="C16" s="10"/>
      <c r="D16" s="10"/>
      <c r="E16" s="10"/>
    </row>
  </sheetData>
  <mergeCells count="3">
    <mergeCell ref="A1:E1"/>
    <mergeCell ref="A2:E2"/>
    <mergeCell ref="A16:E1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FormatPr defaultRowHeight="15" outlineLevelRow="0" outlineLevelCol="0" x14ac:dyDescent="55"/>
  <cols>
    <col min="1" max="1" width="6" customWidth="1"/>
    <col min="2" max="2" width="44" customWidth="1"/>
    <col min="3" max="3" width="10" customWidth="1"/>
    <col min="4" max="4" width="12" customWidth="1"/>
    <col min="5" max="9" width="16" customWidth="1"/>
  </cols>
  <sheetData>
    <row r="1" ht="28" customHeight="1" spans="1:9" x14ac:dyDescent="0.25">
      <c r="A1" s="1" t="s">
        <v>102</v>
      </c>
      <c r="B1" s="1"/>
      <c r="C1" s="1"/>
      <c r="D1" s="1"/>
      <c r="E1" s="1"/>
      <c r="F1" s="1"/>
      <c r="G1" s="1"/>
      <c r="H1" s="1"/>
      <c r="I1" s="1"/>
    </row>
    <row r="2" ht="30" customHeight="1" spans="1:9" x14ac:dyDescent="0.25">
      <c r="A2" s="2" t="s">
        <v>103</v>
      </c>
      <c r="B2" s="2"/>
      <c r="C2" s="2"/>
      <c r="D2" s="2"/>
      <c r="E2" s="2"/>
      <c r="F2" s="2"/>
      <c r="G2" s="2"/>
      <c r="H2" s="2"/>
      <c r="I2" s="2"/>
    </row>
    <row r="4" ht="22" customHeight="1" spans="1:9" x14ac:dyDescent="0.25">
      <c r="A4" s="4" t="s">
        <v>79</v>
      </c>
      <c r="B4" s="4" t="s">
        <v>104</v>
      </c>
      <c r="C4" s="4" t="s">
        <v>81</v>
      </c>
      <c r="D4" s="4" t="s">
        <v>105</v>
      </c>
      <c r="E4" s="4" t="s">
        <v>28</v>
      </c>
      <c r="F4" s="4" t="s">
        <v>106</v>
      </c>
      <c r="G4" s="4" t="s">
        <v>42</v>
      </c>
      <c r="H4" s="4" t="s">
        <v>38</v>
      </c>
      <c r="I4" s="4" t="s">
        <v>46</v>
      </c>
    </row>
    <row r="5" spans="1:9" x14ac:dyDescent="0.25">
      <c r="A5" s="6">
        <v>1</v>
      </c>
      <c r="B5" s="6" t="s">
        <v>84</v>
      </c>
      <c r="C5" s="6" t="s">
        <v>85</v>
      </c>
      <c r="D5" s="6" t="s">
        <v>86</v>
      </c>
      <c r="E5" s="6" t="s">
        <v>107</v>
      </c>
      <c r="F5" s="6" t="s">
        <v>107</v>
      </c>
      <c r="G5" s="6" t="s">
        <v>107</v>
      </c>
      <c r="H5" s="6" t="s">
        <v>107</v>
      </c>
      <c r="I5" s="6" t="s">
        <v>107</v>
      </c>
    </row>
    <row r="6" spans="1:9" x14ac:dyDescent="0.25">
      <c r="A6" s="6">
        <v>2</v>
      </c>
      <c r="B6" s="6" t="s">
        <v>88</v>
      </c>
      <c r="C6" s="6" t="s">
        <v>89</v>
      </c>
      <c r="D6" s="6" t="s">
        <v>86</v>
      </c>
      <c r="E6" s="6" t="s">
        <v>107</v>
      </c>
      <c r="F6" s="6" t="s">
        <v>107</v>
      </c>
      <c r="G6" s="6" t="s">
        <v>107</v>
      </c>
      <c r="H6" s="6" t="s">
        <v>107</v>
      </c>
      <c r="I6" s="6" t="s">
        <v>107</v>
      </c>
    </row>
    <row r="7" spans="1:9" x14ac:dyDescent="0.25">
      <c r="A7" s="6">
        <v>3</v>
      </c>
      <c r="B7" s="6" t="s">
        <v>90</v>
      </c>
      <c r="C7" s="6" t="s">
        <v>85</v>
      </c>
      <c r="D7" s="6" t="s">
        <v>86</v>
      </c>
      <c r="E7" s="6" t="s">
        <v>107</v>
      </c>
      <c r="F7" s="6" t="s">
        <v>107</v>
      </c>
      <c r="G7" s="6" t="s">
        <v>107</v>
      </c>
      <c r="H7" s="6" t="s">
        <v>107</v>
      </c>
      <c r="I7" s="6" t="s">
        <v>107</v>
      </c>
    </row>
    <row r="8" spans="1:9" x14ac:dyDescent="0.25">
      <c r="A8" s="6">
        <v>4</v>
      </c>
      <c r="B8" s="6" t="s">
        <v>91</v>
      </c>
      <c r="C8" s="6" t="s">
        <v>89</v>
      </c>
      <c r="D8" s="6" t="s">
        <v>92</v>
      </c>
      <c r="E8" s="6" t="s">
        <v>107</v>
      </c>
      <c r="F8" s="6" t="s">
        <v>107</v>
      </c>
      <c r="G8" s="6" t="s">
        <v>107</v>
      </c>
      <c r="H8" s="6" t="s">
        <v>107</v>
      </c>
      <c r="I8" s="6" t="s">
        <v>107</v>
      </c>
    </row>
    <row r="9" spans="1:9" x14ac:dyDescent="0.25">
      <c r="A9" s="6">
        <v>5</v>
      </c>
      <c r="B9" s="6" t="s">
        <v>93</v>
      </c>
      <c r="C9" s="6" t="s">
        <v>85</v>
      </c>
      <c r="D9" s="6" t="s">
        <v>92</v>
      </c>
      <c r="E9" s="6" t="s">
        <v>107</v>
      </c>
      <c r="F9" s="6" t="s">
        <v>107</v>
      </c>
      <c r="G9" s="6" t="s">
        <v>107</v>
      </c>
      <c r="H9" s="6" t="s">
        <v>107</v>
      </c>
      <c r="I9" s="6" t="s">
        <v>107</v>
      </c>
    </row>
    <row r="10" spans="1:9" x14ac:dyDescent="0.25">
      <c r="A10" s="6">
        <v>6</v>
      </c>
      <c r="B10" s="6" t="s">
        <v>94</v>
      </c>
      <c r="C10" s="6" t="s">
        <v>89</v>
      </c>
      <c r="D10" s="6" t="s">
        <v>95</v>
      </c>
      <c r="E10" s="6" t="s">
        <v>107</v>
      </c>
      <c r="F10" s="6" t="s">
        <v>107</v>
      </c>
      <c r="G10" s="6" t="s">
        <v>107</v>
      </c>
      <c r="H10" s="6" t="s">
        <v>107</v>
      </c>
      <c r="I10" s="6" t="s">
        <v>107</v>
      </c>
    </row>
    <row r="11" spans="1:9" x14ac:dyDescent="0.25">
      <c r="A11" s="6">
        <v>7</v>
      </c>
      <c r="B11" s="6" t="s">
        <v>96</v>
      </c>
      <c r="C11" s="6" t="s">
        <v>85</v>
      </c>
      <c r="D11" s="6" t="s">
        <v>95</v>
      </c>
      <c r="E11" s="6" t="s">
        <v>107</v>
      </c>
      <c r="F11" s="6" t="s">
        <v>107</v>
      </c>
      <c r="G11" s="6" t="s">
        <v>107</v>
      </c>
      <c r="H11" s="6" t="s">
        <v>107</v>
      </c>
      <c r="I11" s="6" t="s">
        <v>107</v>
      </c>
    </row>
    <row r="12" spans="1:9" x14ac:dyDescent="0.25">
      <c r="A12" s="6">
        <v>8</v>
      </c>
      <c r="B12" s="6" t="s">
        <v>97</v>
      </c>
      <c r="C12" s="6" t="s">
        <v>89</v>
      </c>
      <c r="D12" s="6" t="s">
        <v>95</v>
      </c>
      <c r="E12" s="6" t="s">
        <v>107</v>
      </c>
      <c r="F12" s="6" t="s">
        <v>107</v>
      </c>
      <c r="G12" s="6" t="s">
        <v>107</v>
      </c>
      <c r="H12" s="6" t="s">
        <v>107</v>
      </c>
      <c r="I12" s="6" t="s">
        <v>107</v>
      </c>
    </row>
    <row r="13" spans="1:9" x14ac:dyDescent="0.25">
      <c r="A13" s="6">
        <v>9</v>
      </c>
      <c r="B13" s="6" t="s">
        <v>98</v>
      </c>
      <c r="C13" s="6" t="s">
        <v>85</v>
      </c>
      <c r="D13" s="6" t="s">
        <v>99</v>
      </c>
      <c r="E13" s="6" t="s">
        <v>107</v>
      </c>
      <c r="F13" s="6" t="s">
        <v>107</v>
      </c>
      <c r="G13" s="6" t="s">
        <v>107</v>
      </c>
      <c r="H13" s="6" t="s">
        <v>107</v>
      </c>
      <c r="I13" s="6" t="s">
        <v>107</v>
      </c>
    </row>
    <row r="14" spans="1:9" x14ac:dyDescent="0.25">
      <c r="A14" s="6">
        <v>10</v>
      </c>
      <c r="B14" s="6" t="s">
        <v>100</v>
      </c>
      <c r="C14" s="6" t="s">
        <v>89</v>
      </c>
      <c r="D14" s="6" t="s">
        <v>99</v>
      </c>
      <c r="E14" s="6" t="s">
        <v>107</v>
      </c>
      <c r="F14" s="6" t="s">
        <v>107</v>
      </c>
      <c r="G14" s="6" t="s">
        <v>107</v>
      </c>
      <c r="H14" s="6" t="s">
        <v>107</v>
      </c>
      <c r="I14" s="6" t="s">
        <v>107</v>
      </c>
    </row>
    <row r="15" spans="1:9" x14ac:dyDescent="0.25">
      <c r="A15" s="11" t="s">
        <v>107</v>
      </c>
      <c r="B15" s="11" t="s">
        <v>108</v>
      </c>
      <c r="C15" s="11" t="s">
        <v>107</v>
      </c>
      <c r="D15" s="11" t="s">
        <v>107</v>
      </c>
      <c r="E15" s="11">
        <f>COUNT(E5:E14)</f>
      </c>
      <c r="F15" s="11">
        <f>COUNT(F5:F14)</f>
      </c>
      <c r="G15" s="11">
        <f>COUNT(G5:G14)</f>
      </c>
      <c r="H15" s="11">
        <f>COUNT(H5:H14)</f>
      </c>
      <c r="I15" s="11">
        <f>COUNT(I5:I14)</f>
      </c>
    </row>
    <row r="16" spans="1:9" x14ac:dyDescent="0.25">
      <c r="A16" s="11" t="s">
        <v>107</v>
      </c>
      <c r="B16" s="11" t="s">
        <v>109</v>
      </c>
      <c r="C16" s="11" t="s">
        <v>107</v>
      </c>
      <c r="D16" s="11" t="s">
        <v>107</v>
      </c>
      <c r="E16" s="12">
        <f>IF(10=0,0,COUNT(E5:E14)/10)</f>
      </c>
      <c r="F16" s="12">
        <f>IF(10=0,0,COUNT(F5:F14)/10)</f>
      </c>
      <c r="G16" s="12">
        <f>IF(10=0,0,COUNT(G5:G14)/10)</f>
      </c>
      <c r="H16" s="12">
        <f>IF(10=0,0,COUNT(H5:H14)/10)</f>
      </c>
      <c r="I16" s="12">
        <f>IF(10=0,0,COUNT(I5:I14)/10)</f>
      </c>
    </row>
    <row r="17" spans="1:9" x14ac:dyDescent="0.25">
      <c r="A17" s="11" t="s">
        <v>107</v>
      </c>
      <c r="B17" s="11" t="s">
        <v>110</v>
      </c>
      <c r="C17" s="11" t="s">
        <v>107</v>
      </c>
      <c r="D17" s="11" t="s">
        <v>107</v>
      </c>
      <c r="E17" s="11">
        <f>COUNTIF(E5:E14,1)</f>
      </c>
      <c r="F17" s="11">
        <f>COUNTIF(F5:F14,1)</f>
      </c>
      <c r="G17" s="11">
        <f>COUNTIF(G5:G14,1)</f>
      </c>
      <c r="H17" s="11">
        <f>COUNTIF(H5:H14,1)</f>
      </c>
      <c r="I17" s="11">
        <f>COUNTIF(I5:I14,1)</f>
      </c>
    </row>
    <row r="18" spans="1:5" x14ac:dyDescent="0.25">
      <c r="A18" s="11" t="s">
        <v>107</v>
      </c>
      <c r="B18" s="11" t="s">
        <v>111</v>
      </c>
      <c r="C18" s="11" t="s">
        <v>107</v>
      </c>
      <c r="D18" s="11" t="s">
        <v>107</v>
      </c>
      <c r="E18" s="11">
        <f>SUM(E15:I15)&amp;" / 50"</f>
      </c>
    </row>
    <row r="20" ht="21" customHeight="1" spans="1:9" x14ac:dyDescent="0.25">
      <c r="A20" s="10" t="s">
        <v>112</v>
      </c>
      <c r="B20" s="10"/>
      <c r="C20" s="10"/>
      <c r="D20" s="10"/>
      <c r="E20" s="10"/>
      <c r="F20" s="10"/>
      <c r="G20" s="10"/>
      <c r="H20" s="10"/>
      <c r="I20" s="10"/>
    </row>
  </sheetData>
  <mergeCells count="3">
    <mergeCell ref="A1:I1"/>
    <mergeCell ref="A2:I2"/>
    <mergeCell ref="A20:I2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cols>
    <col min="1" max="1" width="7" customWidth="1"/>
    <col min="2" max="2" width="8" customWidth="1"/>
    <col min="4" max="4" width="12" customWidth="1"/>
    <col min="5" max="5" width="44" customWidth="1"/>
    <col min="6" max="6" width="90" customWidth="1"/>
    <col min="7" max="7" width="30" customWidth="1"/>
  </cols>
  <sheetData>
    <row r="1" ht="28" customHeight="1" spans="1:7" x14ac:dyDescent="0.25">
      <c r="A1" s="1" t="s">
        <v>113</v>
      </c>
      <c r="B1" s="1"/>
      <c r="C1" s="1"/>
      <c r="D1" s="1"/>
      <c r="E1" s="1"/>
      <c r="F1" s="1"/>
      <c r="G1" s="1"/>
    </row>
    <row r="2" ht="30" customHeight="1" spans="1:7" x14ac:dyDescent="0.25">
      <c r="A2" s="2" t="s">
        <v>114</v>
      </c>
      <c r="B2" s="2"/>
      <c r="C2" s="2"/>
      <c r="D2" s="2"/>
      <c r="E2" s="2"/>
      <c r="F2" s="2"/>
      <c r="G2" s="2"/>
    </row>
    <row r="4" ht="22" customHeight="1" spans="1:7" x14ac:dyDescent="0.25">
      <c r="A4" s="4" t="s">
        <v>115</v>
      </c>
      <c r="B4" s="4" t="s">
        <v>116</v>
      </c>
      <c r="C4" s="4" t="s">
        <v>117</v>
      </c>
      <c r="D4" s="4" t="s">
        <v>118</v>
      </c>
      <c r="E4" s="4" t="s">
        <v>119</v>
      </c>
      <c r="F4" s="4" t="s">
        <v>120</v>
      </c>
      <c r="G4" s="4" t="s">
        <v>121</v>
      </c>
    </row>
    <row r="5" spans="1:7" x14ac:dyDescent="0.25">
      <c r="A5" s="6" t="s">
        <v>122</v>
      </c>
      <c r="B5" s="7" t="s">
        <v>123</v>
      </c>
      <c r="C5" s="7" t="s">
        <v>124</v>
      </c>
      <c r="D5" s="6" t="s">
        <v>125</v>
      </c>
      <c r="E5" s="5" t="s">
        <v>126</v>
      </c>
      <c r="F5" s="6" t="s">
        <v>127</v>
      </c>
      <c r="G5" s="6" t="s">
        <v>128</v>
      </c>
    </row>
    <row r="6" spans="1:7" x14ac:dyDescent="0.25">
      <c r="A6" s="6" t="s">
        <v>129</v>
      </c>
      <c r="B6" s="7" t="s">
        <v>123</v>
      </c>
      <c r="C6" s="7" t="s">
        <v>124</v>
      </c>
      <c r="D6" s="6" t="s">
        <v>130</v>
      </c>
      <c r="E6" s="5" t="s">
        <v>131</v>
      </c>
      <c r="F6" s="6" t="s">
        <v>132</v>
      </c>
      <c r="G6" s="6" t="s">
        <v>133</v>
      </c>
    </row>
    <row r="7" spans="1:7" x14ac:dyDescent="0.25">
      <c r="A7" s="6" t="s">
        <v>134</v>
      </c>
      <c r="B7" s="8" t="s">
        <v>123</v>
      </c>
      <c r="C7" s="8" t="s">
        <v>135</v>
      </c>
      <c r="D7" s="6" t="s">
        <v>125</v>
      </c>
      <c r="E7" s="5" t="s">
        <v>136</v>
      </c>
      <c r="F7" s="6" t="s">
        <v>137</v>
      </c>
      <c r="G7" s="6" t="s">
        <v>138</v>
      </c>
    </row>
    <row r="8" spans="1:7" x14ac:dyDescent="0.25">
      <c r="A8" s="6" t="s">
        <v>139</v>
      </c>
      <c r="B8" s="8" t="s">
        <v>123</v>
      </c>
      <c r="C8" s="8" t="s">
        <v>135</v>
      </c>
      <c r="D8" s="6" t="s">
        <v>140</v>
      </c>
      <c r="E8" s="5" t="s">
        <v>141</v>
      </c>
      <c r="F8" s="6" t="s">
        <v>142</v>
      </c>
      <c r="G8" s="6" t="s">
        <v>143</v>
      </c>
    </row>
    <row r="9" spans="1:7" x14ac:dyDescent="0.25">
      <c r="A9" s="6" t="s">
        <v>144</v>
      </c>
      <c r="B9" s="8" t="s">
        <v>123</v>
      </c>
      <c r="C9" s="8" t="s">
        <v>135</v>
      </c>
      <c r="D9" s="6" t="s">
        <v>130</v>
      </c>
      <c r="E9" s="5" t="s">
        <v>145</v>
      </c>
      <c r="F9" s="6" t="s">
        <v>146</v>
      </c>
      <c r="G9" s="6" t="s">
        <v>147</v>
      </c>
    </row>
    <row r="10" spans="1:7" x14ac:dyDescent="0.25">
      <c r="A10" s="6" t="s">
        <v>148</v>
      </c>
      <c r="B10" s="8" t="s">
        <v>123</v>
      </c>
      <c r="C10" s="8" t="s">
        <v>135</v>
      </c>
      <c r="D10" s="6" t="s">
        <v>149</v>
      </c>
      <c r="E10" s="5" t="s">
        <v>150</v>
      </c>
      <c r="F10" s="6" t="s">
        <v>151</v>
      </c>
      <c r="G10" s="6" t="s">
        <v>152</v>
      </c>
    </row>
    <row r="11" spans="1:7" x14ac:dyDescent="0.25">
      <c r="A11" s="6" t="s">
        <v>153</v>
      </c>
      <c r="B11" s="8" t="s">
        <v>123</v>
      </c>
      <c r="C11" s="8" t="s">
        <v>135</v>
      </c>
      <c r="D11" s="6" t="s">
        <v>149</v>
      </c>
      <c r="E11" s="5" t="s">
        <v>154</v>
      </c>
      <c r="F11" s="6" t="s">
        <v>155</v>
      </c>
      <c r="G11" s="6" t="s">
        <v>156</v>
      </c>
    </row>
    <row r="12" spans="1:7" x14ac:dyDescent="0.25">
      <c r="A12" s="6" t="s">
        <v>157</v>
      </c>
      <c r="B12" s="13" t="s">
        <v>123</v>
      </c>
      <c r="C12" s="13" t="s">
        <v>158</v>
      </c>
      <c r="D12" s="6" t="s">
        <v>125</v>
      </c>
      <c r="E12" s="5" t="s">
        <v>159</v>
      </c>
      <c r="F12" s="6" t="s">
        <v>160</v>
      </c>
      <c r="G12" s="6" t="s">
        <v>161</v>
      </c>
    </row>
    <row r="13" spans="1:7" x14ac:dyDescent="0.25">
      <c r="A13" s="6" t="s">
        <v>162</v>
      </c>
      <c r="B13" s="13" t="s">
        <v>123</v>
      </c>
      <c r="C13" s="13" t="s">
        <v>158</v>
      </c>
      <c r="D13" s="6" t="s">
        <v>130</v>
      </c>
      <c r="E13" s="5" t="s">
        <v>163</v>
      </c>
      <c r="F13" s="6" t="s">
        <v>164</v>
      </c>
      <c r="G13" s="6" t="s">
        <v>133</v>
      </c>
    </row>
    <row r="14" spans="1:7" x14ac:dyDescent="0.25">
      <c r="A14" s="6" t="s">
        <v>165</v>
      </c>
      <c r="B14" s="13" t="s">
        <v>123</v>
      </c>
      <c r="C14" s="13" t="s">
        <v>158</v>
      </c>
      <c r="D14" s="6" t="s">
        <v>166</v>
      </c>
      <c r="E14" s="5" t="s">
        <v>167</v>
      </c>
      <c r="F14" s="6" t="s">
        <v>168</v>
      </c>
      <c r="G14" s="6" t="s">
        <v>169</v>
      </c>
    </row>
    <row r="15" spans="1:7" x14ac:dyDescent="0.25">
      <c r="A15" s="6" t="s">
        <v>170</v>
      </c>
      <c r="B15" s="13" t="s">
        <v>123</v>
      </c>
      <c r="C15" s="13" t="s">
        <v>158</v>
      </c>
      <c r="D15" s="6" t="s">
        <v>149</v>
      </c>
      <c r="E15" s="5" t="s">
        <v>171</v>
      </c>
      <c r="F15" s="6" t="s">
        <v>172</v>
      </c>
      <c r="G15" s="6" t="s">
        <v>173</v>
      </c>
    </row>
    <row r="16" spans="1:7" x14ac:dyDescent="0.25">
      <c r="A16" s="6" t="s">
        <v>174</v>
      </c>
      <c r="B16" s="14" t="s">
        <v>9</v>
      </c>
      <c r="C16" s="13" t="s">
        <v>107</v>
      </c>
      <c r="D16" s="6" t="s">
        <v>175</v>
      </c>
      <c r="E16" s="5" t="s">
        <v>176</v>
      </c>
      <c r="F16" s="6" t="s">
        <v>177</v>
      </c>
      <c r="G16" s="6" t="s">
        <v>133</v>
      </c>
    </row>
    <row r="17" spans="1:7" x14ac:dyDescent="0.25">
      <c r="A17" s="6" t="s">
        <v>178</v>
      </c>
      <c r="B17" s="14" t="s">
        <v>9</v>
      </c>
      <c r="C17" s="13" t="s">
        <v>107</v>
      </c>
      <c r="D17" s="6" t="s">
        <v>179</v>
      </c>
      <c r="E17" s="5" t="s">
        <v>180</v>
      </c>
      <c r="F17" s="6" t="s">
        <v>181</v>
      </c>
      <c r="G17" s="6" t="s">
        <v>133</v>
      </c>
    </row>
    <row r="18" spans="1:7" x14ac:dyDescent="0.25">
      <c r="A18" s="6" t="s">
        <v>182</v>
      </c>
      <c r="B18" s="14" t="s">
        <v>9</v>
      </c>
      <c r="C18" s="13" t="s">
        <v>107</v>
      </c>
      <c r="D18" s="6" t="s">
        <v>125</v>
      </c>
      <c r="E18" s="5" t="s">
        <v>183</v>
      </c>
      <c r="F18" s="6" t="s">
        <v>13</v>
      </c>
      <c r="G18" s="6" t="s">
        <v>184</v>
      </c>
    </row>
    <row r="19" spans="1:7" x14ac:dyDescent="0.25">
      <c r="A19" s="6" t="s">
        <v>185</v>
      </c>
      <c r="B19" s="14" t="s">
        <v>9</v>
      </c>
      <c r="C19" s="13" t="s">
        <v>107</v>
      </c>
      <c r="D19" s="6" t="s">
        <v>125</v>
      </c>
      <c r="E19" s="5" t="s">
        <v>186</v>
      </c>
      <c r="F19" s="6" t="s">
        <v>187</v>
      </c>
      <c r="G19" s="6" t="s">
        <v>152</v>
      </c>
    </row>
    <row r="20" spans="1:7" x14ac:dyDescent="0.25">
      <c r="A20" s="6" t="s">
        <v>188</v>
      </c>
      <c r="B20" s="14" t="s">
        <v>9</v>
      </c>
      <c r="C20" s="13" t="s">
        <v>107</v>
      </c>
      <c r="D20" s="6" t="s">
        <v>130</v>
      </c>
      <c r="E20" s="5" t="s">
        <v>189</v>
      </c>
      <c r="F20" s="6" t="s">
        <v>190</v>
      </c>
      <c r="G20" s="6" t="s">
        <v>133</v>
      </c>
    </row>
    <row r="21" spans="1:7" x14ac:dyDescent="0.25">
      <c r="A21" s="6" t="s">
        <v>191</v>
      </c>
      <c r="B21" s="14" t="s">
        <v>9</v>
      </c>
      <c r="C21" s="13" t="s">
        <v>107</v>
      </c>
      <c r="D21" s="6" t="s">
        <v>192</v>
      </c>
      <c r="E21" s="5" t="s">
        <v>193</v>
      </c>
      <c r="F21" s="6" t="s">
        <v>194</v>
      </c>
      <c r="G21" s="6" t="s">
        <v>133</v>
      </c>
    </row>
    <row r="22" spans="1:7" x14ac:dyDescent="0.25">
      <c r="A22" s="6" t="s">
        <v>195</v>
      </c>
      <c r="B22" s="14" t="s">
        <v>9</v>
      </c>
      <c r="C22" s="13" t="s">
        <v>107</v>
      </c>
      <c r="D22" s="6" t="s">
        <v>149</v>
      </c>
      <c r="E22" s="5" t="s">
        <v>196</v>
      </c>
      <c r="F22" s="6" t="s">
        <v>197</v>
      </c>
      <c r="G22" s="6" t="s">
        <v>198</v>
      </c>
    </row>
    <row r="23" spans="1:7" x14ac:dyDescent="0.25">
      <c r="A23" s="6" t="s">
        <v>199</v>
      </c>
      <c r="B23" s="13" t="s">
        <v>200</v>
      </c>
      <c r="C23" s="13" t="s">
        <v>107</v>
      </c>
      <c r="D23" s="6" t="s">
        <v>125</v>
      </c>
      <c r="E23" s="5" t="s">
        <v>201</v>
      </c>
      <c r="F23" s="6" t="s">
        <v>202</v>
      </c>
      <c r="G23" s="6" t="s">
        <v>161</v>
      </c>
    </row>
    <row r="24" spans="1:7" x14ac:dyDescent="0.25">
      <c r="A24" s="6" t="s">
        <v>203</v>
      </c>
      <c r="B24" s="13" t="s">
        <v>200</v>
      </c>
      <c r="C24" s="13" t="s">
        <v>107</v>
      </c>
      <c r="D24" s="6" t="s">
        <v>204</v>
      </c>
      <c r="E24" s="5" t="s">
        <v>205</v>
      </c>
      <c r="F24" s="6" t="s">
        <v>206</v>
      </c>
      <c r="G24" s="6" t="s">
        <v>207</v>
      </c>
    </row>
    <row r="25" spans="1:7" x14ac:dyDescent="0.25">
      <c r="A25" s="6" t="s">
        <v>208</v>
      </c>
      <c r="B25" s="13" t="s">
        <v>200</v>
      </c>
      <c r="C25" s="13" t="s">
        <v>107</v>
      </c>
      <c r="D25" s="6" t="s">
        <v>192</v>
      </c>
      <c r="E25" s="5" t="s">
        <v>209</v>
      </c>
      <c r="F25" s="6" t="s">
        <v>210</v>
      </c>
      <c r="G25" s="6" t="s">
        <v>211</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FormatPr defaultRowHeight="15" outlineLevelRow="0" outlineLevelCol="0" x14ac:dyDescent="55"/>
  <cols>
    <col min="1" max="1" width="20" customWidth="1"/>
    <col min="2" max="2" width="14" customWidth="1"/>
    <col min="3" max="3" width="12" customWidth="1"/>
    <col min="4" max="4" width="10" customWidth="1"/>
    <col min="5" max="5" width="14" customWidth="1"/>
    <col min="6" max="6" width="60" customWidth="1"/>
    <col min="7" max="7" width="20" customWidth="1"/>
  </cols>
  <sheetData>
    <row r="1" ht="28" customHeight="1" spans="1:7" x14ac:dyDescent="0.25">
      <c r="A1" s="1" t="s">
        <v>212</v>
      </c>
      <c r="B1" s="1"/>
      <c r="C1" s="1"/>
      <c r="D1" s="1"/>
      <c r="E1" s="1"/>
      <c r="F1" s="1"/>
      <c r="G1" s="1"/>
    </row>
    <row r="2" ht="30" customHeight="1" spans="1:7" x14ac:dyDescent="0.25">
      <c r="A2" s="2" t="s">
        <v>213</v>
      </c>
      <c r="B2" s="2"/>
      <c r="C2" s="2"/>
      <c r="D2" s="2"/>
      <c r="E2" s="2"/>
      <c r="F2" s="2"/>
      <c r="G2" s="2"/>
    </row>
    <row r="4" ht="22" customHeight="1" spans="1:7" x14ac:dyDescent="0.25">
      <c r="A4" s="4" t="s">
        <v>214</v>
      </c>
      <c r="B4" s="4" t="s">
        <v>215</v>
      </c>
      <c r="C4" s="4" t="s">
        <v>216</v>
      </c>
      <c r="D4" s="4" t="s">
        <v>116</v>
      </c>
      <c r="E4" s="4" t="s">
        <v>217</v>
      </c>
      <c r="F4" s="4" t="s">
        <v>218</v>
      </c>
      <c r="G4" s="4" t="s">
        <v>121</v>
      </c>
    </row>
    <row r="5" spans="1:7" x14ac:dyDescent="0.25">
      <c r="A5" s="5" t="s">
        <v>219</v>
      </c>
      <c r="B5" s="6" t="s">
        <v>220</v>
      </c>
      <c r="C5" s="6" t="s">
        <v>221</v>
      </c>
      <c r="D5" s="14" t="s">
        <v>222</v>
      </c>
      <c r="E5" s="6" t="s">
        <v>223</v>
      </c>
      <c r="F5" s="6" t="s">
        <v>224</v>
      </c>
      <c r="G5" s="6" t="s">
        <v>28</v>
      </c>
    </row>
    <row r="6" spans="1:7" x14ac:dyDescent="0.25">
      <c r="A6" s="5" t="s">
        <v>225</v>
      </c>
      <c r="B6" s="6" t="s">
        <v>226</v>
      </c>
      <c r="C6" s="6" t="s">
        <v>221</v>
      </c>
      <c r="D6" s="14" t="s">
        <v>222</v>
      </c>
      <c r="E6" s="6" t="s">
        <v>223</v>
      </c>
      <c r="F6" s="6" t="s">
        <v>227</v>
      </c>
      <c r="G6" s="6" t="s">
        <v>161</v>
      </c>
    </row>
    <row r="7" spans="1:7" x14ac:dyDescent="0.25">
      <c r="A7" s="5" t="s">
        <v>228</v>
      </c>
      <c r="B7" s="6" t="s">
        <v>229</v>
      </c>
      <c r="C7" s="6" t="s">
        <v>221</v>
      </c>
      <c r="D7" s="14" t="s">
        <v>222</v>
      </c>
      <c r="E7" s="6" t="s">
        <v>223</v>
      </c>
      <c r="F7" s="6" t="s">
        <v>230</v>
      </c>
      <c r="G7" s="6" t="s">
        <v>38</v>
      </c>
    </row>
    <row r="8" spans="1:7" x14ac:dyDescent="0.25">
      <c r="A8" s="5" t="s">
        <v>231</v>
      </c>
      <c r="B8" s="6" t="s">
        <v>42</v>
      </c>
      <c r="C8" s="6" t="s">
        <v>221</v>
      </c>
      <c r="D8" s="14" t="s">
        <v>222</v>
      </c>
      <c r="E8" s="6" t="s">
        <v>223</v>
      </c>
      <c r="F8" s="6" t="s">
        <v>232</v>
      </c>
      <c r="G8" s="6" t="s">
        <v>42</v>
      </c>
    </row>
    <row r="9" spans="1:7" x14ac:dyDescent="0.25">
      <c r="A9" s="5" t="s">
        <v>233</v>
      </c>
      <c r="B9" s="6" t="s">
        <v>234</v>
      </c>
      <c r="C9" s="6" t="s">
        <v>221</v>
      </c>
      <c r="D9" s="14" t="s">
        <v>222</v>
      </c>
      <c r="E9" s="6" t="s">
        <v>223</v>
      </c>
      <c r="F9" s="6" t="s">
        <v>235</v>
      </c>
      <c r="G9" s="6" t="s">
        <v>236</v>
      </c>
    </row>
    <row r="10" spans="1:7" x14ac:dyDescent="0.25">
      <c r="A10" s="5" t="s">
        <v>237</v>
      </c>
      <c r="B10" s="6" t="s">
        <v>211</v>
      </c>
      <c r="C10" s="6" t="s">
        <v>221</v>
      </c>
      <c r="D10" s="14" t="s">
        <v>222</v>
      </c>
      <c r="E10" s="6" t="s">
        <v>223</v>
      </c>
      <c r="F10" s="6" t="s">
        <v>238</v>
      </c>
      <c r="G10" s="6" t="s">
        <v>211</v>
      </c>
    </row>
    <row r="11" spans="1:7" x14ac:dyDescent="0.25">
      <c r="A11" s="5" t="s">
        <v>239</v>
      </c>
      <c r="B11" s="6" t="s">
        <v>220</v>
      </c>
      <c r="C11" s="6" t="s">
        <v>240</v>
      </c>
      <c r="D11" s="14" t="s">
        <v>222</v>
      </c>
      <c r="E11" s="6" t="s">
        <v>223</v>
      </c>
      <c r="F11" s="6" t="s">
        <v>241</v>
      </c>
      <c r="G11" s="6" t="s">
        <v>28</v>
      </c>
    </row>
    <row r="12" spans="1:7" x14ac:dyDescent="0.25">
      <c r="A12" s="5" t="s">
        <v>242</v>
      </c>
      <c r="B12" s="6" t="s">
        <v>229</v>
      </c>
      <c r="C12" s="6" t="s">
        <v>240</v>
      </c>
      <c r="D12" s="14" t="s">
        <v>222</v>
      </c>
      <c r="E12" s="6" t="s">
        <v>223</v>
      </c>
      <c r="F12" s="6" t="s">
        <v>243</v>
      </c>
      <c r="G12" s="6" t="s">
        <v>38</v>
      </c>
    </row>
    <row r="13" spans="1:7" x14ac:dyDescent="0.25">
      <c r="A13" s="5" t="s">
        <v>244</v>
      </c>
      <c r="B13" s="6" t="s">
        <v>42</v>
      </c>
      <c r="C13" s="6" t="s">
        <v>240</v>
      </c>
      <c r="D13" s="14" t="s">
        <v>222</v>
      </c>
      <c r="E13" s="6" t="s">
        <v>223</v>
      </c>
      <c r="F13" s="6" t="s">
        <v>245</v>
      </c>
      <c r="G13" s="6" t="s">
        <v>42</v>
      </c>
    </row>
    <row r="14" spans="1:7" x14ac:dyDescent="0.25">
      <c r="A14" s="5" t="s">
        <v>246</v>
      </c>
      <c r="B14" s="6" t="s">
        <v>220</v>
      </c>
      <c r="C14" s="6" t="s">
        <v>247</v>
      </c>
      <c r="D14" s="14" t="s">
        <v>222</v>
      </c>
      <c r="E14" s="6" t="s">
        <v>223</v>
      </c>
      <c r="F14" s="6" t="s">
        <v>248</v>
      </c>
      <c r="G14" s="6" t="s">
        <v>28</v>
      </c>
    </row>
    <row r="15" spans="1:7" x14ac:dyDescent="0.25">
      <c r="A15" s="5" t="s">
        <v>249</v>
      </c>
      <c r="B15" s="6" t="s">
        <v>226</v>
      </c>
      <c r="C15" s="6" t="s">
        <v>247</v>
      </c>
      <c r="D15" s="14" t="s">
        <v>222</v>
      </c>
      <c r="E15" s="6" t="s">
        <v>223</v>
      </c>
      <c r="F15" s="6" t="s">
        <v>250</v>
      </c>
      <c r="G15" s="6" t="s">
        <v>161</v>
      </c>
    </row>
    <row r="16" spans="1:7" x14ac:dyDescent="0.25">
      <c r="A16" s="5" t="s">
        <v>251</v>
      </c>
      <c r="B16" s="6" t="s">
        <v>229</v>
      </c>
      <c r="C16" s="6" t="s">
        <v>247</v>
      </c>
      <c r="D16" s="14" t="s">
        <v>222</v>
      </c>
      <c r="E16" s="6" t="s">
        <v>223</v>
      </c>
      <c r="F16" s="6" t="s">
        <v>252</v>
      </c>
      <c r="G16" s="6" t="s">
        <v>38</v>
      </c>
    </row>
    <row r="17" spans="1:7" x14ac:dyDescent="0.25">
      <c r="A17" s="5" t="s">
        <v>253</v>
      </c>
      <c r="B17" s="6" t="s">
        <v>254</v>
      </c>
      <c r="C17" s="6" t="s">
        <v>247</v>
      </c>
      <c r="D17" s="14" t="s">
        <v>222</v>
      </c>
      <c r="E17" s="6" t="s">
        <v>223</v>
      </c>
      <c r="F17" s="6" t="s">
        <v>255</v>
      </c>
      <c r="G17" s="6" t="s">
        <v>107</v>
      </c>
    </row>
    <row r="19" spans="1:2" x14ac:dyDescent="0.25">
      <c r="A19" s="5" t="s">
        <v>256</v>
      </c>
      <c r="B19" s="6" t="s">
        <v>194</v>
      </c>
    </row>
    <row r="20" ht="36" customHeight="1" spans="1:7" x14ac:dyDescent="0.25">
      <c r="A20" s="10" t="s">
        <v>257</v>
      </c>
      <c r="B20" s="10"/>
      <c r="C20" s="10"/>
      <c r="D20" s="10"/>
      <c r="E20" s="10"/>
      <c r="F20" s="10"/>
      <c r="G20" s="10"/>
    </row>
  </sheetData>
  <mergeCells count="3">
    <mergeCell ref="A1:G1"/>
    <mergeCell ref="A2:G2"/>
    <mergeCell ref="A20:G2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22" customWidth="1"/>
    <col min="2" max="2" width="40" customWidth="1"/>
    <col min="3" max="4" width="60" customWidth="1"/>
  </cols>
  <sheetData>
    <row r="1" ht="28" customHeight="1" spans="1:4" x14ac:dyDescent="0.25">
      <c r="A1" s="1" t="s">
        <v>258</v>
      </c>
      <c r="B1" s="1"/>
      <c r="C1" s="1"/>
      <c r="D1" s="1"/>
    </row>
    <row r="2" ht="30" customHeight="1" spans="1:4" x14ac:dyDescent="0.25">
      <c r="A2" s="2" t="s">
        <v>259</v>
      </c>
      <c r="B2" s="2"/>
      <c r="C2" s="2"/>
      <c r="D2" s="2"/>
    </row>
    <row r="4" ht="22" customHeight="1" spans="1:4" x14ac:dyDescent="0.25">
      <c r="A4" s="4" t="s">
        <v>260</v>
      </c>
      <c r="B4" s="4" t="s">
        <v>261</v>
      </c>
      <c r="C4" s="4" t="s">
        <v>262</v>
      </c>
      <c r="D4" s="4" t="s">
        <v>263</v>
      </c>
    </row>
    <row r="5" spans="1:4" x14ac:dyDescent="0.25">
      <c r="A5" s="5" t="s">
        <v>264</v>
      </c>
      <c r="B5" s="6" t="s">
        <v>265</v>
      </c>
      <c r="C5" s="14" t="s">
        <v>107</v>
      </c>
      <c r="D5" s="13" t="s">
        <v>107</v>
      </c>
    </row>
    <row r="6" spans="1:4" x14ac:dyDescent="0.25">
      <c r="A6" s="5" t="s">
        <v>266</v>
      </c>
      <c r="B6" s="6" t="s">
        <v>265</v>
      </c>
      <c r="C6" s="14" t="s">
        <v>267</v>
      </c>
      <c r="D6" s="7" t="s">
        <v>268</v>
      </c>
    </row>
    <row r="7" spans="1:4" x14ac:dyDescent="0.25">
      <c r="A7" s="5" t="s">
        <v>269</v>
      </c>
      <c r="B7" s="6" t="s">
        <v>107</v>
      </c>
      <c r="C7" s="14" t="s">
        <v>270</v>
      </c>
      <c r="D7" s="13" t="s">
        <v>107</v>
      </c>
    </row>
    <row r="8" spans="1:4" x14ac:dyDescent="0.25">
      <c r="A8" s="5" t="s">
        <v>271</v>
      </c>
      <c r="B8" s="6" t="s">
        <v>272</v>
      </c>
      <c r="C8" s="14" t="s">
        <v>273</v>
      </c>
      <c r="D8" s="7" t="s">
        <v>160</v>
      </c>
    </row>
    <row r="9" spans="1:4" x14ac:dyDescent="0.25">
      <c r="A9" s="5" t="s">
        <v>274</v>
      </c>
      <c r="B9" s="6" t="s">
        <v>107</v>
      </c>
      <c r="C9" s="14" t="s">
        <v>275</v>
      </c>
      <c r="D9" s="13" t="s">
        <v>107</v>
      </c>
    </row>
    <row r="11" spans="1:1" x14ac:dyDescent="0.25">
      <c r="A11" s="3" t="s">
        <v>276</v>
      </c>
    </row>
    <row r="12" ht="22" customHeight="1" spans="1:4" x14ac:dyDescent="0.25">
      <c r="A12" s="4" t="s">
        <v>277</v>
      </c>
      <c r="B12" s="4" t="s">
        <v>278</v>
      </c>
      <c r="C12" s="4" t="s">
        <v>279</v>
      </c>
      <c r="D12" s="4" t="s">
        <v>280</v>
      </c>
    </row>
    <row r="13" spans="1:4" x14ac:dyDescent="0.25">
      <c r="A13" s="5" t="s">
        <v>265</v>
      </c>
      <c r="B13" s="6" t="s">
        <v>281</v>
      </c>
      <c r="C13" s="14" t="s">
        <v>267</v>
      </c>
      <c r="D13" s="7" t="s">
        <v>282</v>
      </c>
    </row>
    <row r="15" spans="1:1" x14ac:dyDescent="0.25">
      <c r="A15" s="3" t="s">
        <v>283</v>
      </c>
    </row>
    <row r="16" spans="1:1" x14ac:dyDescent="0.25">
      <c r="A16" s="7" t="s">
        <v>284</v>
      </c>
    </row>
    <row r="18" spans="1:1" x14ac:dyDescent="0.25">
      <c r="A18" s="3" t="s">
        <v>285</v>
      </c>
    </row>
    <row r="19" spans="1:2" x14ac:dyDescent="0.25">
      <c r="A19" s="6" t="s">
        <v>286</v>
      </c>
      <c r="B19" s="6" t="s">
        <v>287</v>
      </c>
    </row>
    <row r="20" spans="1:2" x14ac:dyDescent="0.25">
      <c r="A20" s="6" t="s">
        <v>288</v>
      </c>
      <c r="B20" s="6" t="s">
        <v>289</v>
      </c>
    </row>
    <row r="21" spans="1:2" x14ac:dyDescent="0.25">
      <c r="A21" s="6" t="s">
        <v>290</v>
      </c>
      <c r="B21" s="6" t="s">
        <v>291</v>
      </c>
    </row>
    <row r="22" spans="1:2" x14ac:dyDescent="0.25">
      <c r="A22" s="6" t="s">
        <v>292</v>
      </c>
      <c r="B22" s="6" t="s">
        <v>293</v>
      </c>
    </row>
    <row r="23" spans="1:2" x14ac:dyDescent="0.25">
      <c r="A23" s="6" t="s">
        <v>294</v>
      </c>
      <c r="B23" s="6" t="s">
        <v>295</v>
      </c>
    </row>
    <row r="24" spans="1:2" x14ac:dyDescent="0.25">
      <c r="A24" s="6" t="s">
        <v>296</v>
      </c>
      <c r="B24" s="6" t="s">
        <v>297</v>
      </c>
    </row>
    <row r="25" spans="1:2" x14ac:dyDescent="0.25">
      <c r="A25" s="6" t="s">
        <v>298</v>
      </c>
      <c r="B25" s="6" t="s">
        <v>299</v>
      </c>
    </row>
    <row r="27" spans="1:1" x14ac:dyDescent="0.25">
      <c r="A27" s="3" t="s">
        <v>300</v>
      </c>
    </row>
    <row r="28" spans="1:2" x14ac:dyDescent="0.25">
      <c r="A28" s="8" t="s">
        <v>271</v>
      </c>
      <c r="B28" s="6" t="s">
        <v>160</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FormatPr defaultRowHeight="15" outlineLevelRow="0" outlineLevelCol="0" x14ac:dyDescent="55"/>
  <cols>
    <col min="1" max="1" width="20" customWidth="1"/>
    <col min="2" max="2" width="100" customWidth="1"/>
  </cols>
  <sheetData>
    <row r="1" ht="28" customHeight="1" spans="1:2" x14ac:dyDescent="0.25">
      <c r="A1" s="1" t="s">
        <v>301</v>
      </c>
      <c r="B1" s="1"/>
    </row>
    <row r="2" ht="30" customHeight="1" spans="1:2" x14ac:dyDescent="0.25">
      <c r="A2" s="2" t="s">
        <v>302</v>
      </c>
      <c r="B2" s="2"/>
    </row>
    <row r="4" ht="22" customHeight="1" spans="1:2" x14ac:dyDescent="0.25">
      <c r="A4" s="4" t="s">
        <v>119</v>
      </c>
      <c r="B4" s="4" t="s">
        <v>11</v>
      </c>
    </row>
    <row r="5" spans="1:2" x14ac:dyDescent="0.25">
      <c r="A5" s="5" t="s">
        <v>303</v>
      </c>
      <c r="B5" s="6" t="s">
        <v>304</v>
      </c>
    </row>
    <row r="6" spans="1:2" x14ac:dyDescent="0.25">
      <c r="A6" s="5" t="s">
        <v>305</v>
      </c>
      <c r="B6" s="6" t="s">
        <v>306</v>
      </c>
    </row>
    <row r="7" spans="1:2" x14ac:dyDescent="0.25">
      <c r="A7" s="5" t="s">
        <v>307</v>
      </c>
      <c r="B7" s="6" t="s">
        <v>308</v>
      </c>
    </row>
    <row r="8" spans="1:2" x14ac:dyDescent="0.25">
      <c r="A8" s="5" t="s">
        <v>309</v>
      </c>
      <c r="B8" s="6" t="s">
        <v>310</v>
      </c>
    </row>
    <row r="9" spans="1:2" x14ac:dyDescent="0.25">
      <c r="A9" s="5" t="s">
        <v>311</v>
      </c>
      <c r="B9" s="6" t="s">
        <v>312</v>
      </c>
    </row>
    <row r="10" spans="1:2" x14ac:dyDescent="0.25">
      <c r="A10" s="5" t="s">
        <v>313</v>
      </c>
      <c r="B10" s="6" t="s">
        <v>314</v>
      </c>
    </row>
    <row r="11" spans="1:2" x14ac:dyDescent="0.25">
      <c r="A11" s="5" t="s">
        <v>315</v>
      </c>
      <c r="B11" s="6" t="s">
        <v>316</v>
      </c>
    </row>
    <row r="12" spans="1:2" x14ac:dyDescent="0.25">
      <c r="A12" s="5" t="s">
        <v>317</v>
      </c>
      <c r="B12" s="6" t="s">
        <v>304</v>
      </c>
    </row>
    <row r="13" spans="1:2" x14ac:dyDescent="0.25">
      <c r="A13" s="5" t="s">
        <v>318</v>
      </c>
      <c r="B13" s="6" t="s">
        <v>319</v>
      </c>
    </row>
    <row r="14" spans="1:2" x14ac:dyDescent="0.25">
      <c r="A14" s="5" t="s">
        <v>320</v>
      </c>
      <c r="B14" s="6" t="s">
        <v>321</v>
      </c>
    </row>
    <row r="15" spans="1:2" x14ac:dyDescent="0.25">
      <c r="A15" s="5" t="s">
        <v>322</v>
      </c>
      <c r="B15" s="6" t="s">
        <v>323</v>
      </c>
    </row>
    <row r="16" spans="1:2" x14ac:dyDescent="0.25">
      <c r="A16" s="5" t="s">
        <v>324</v>
      </c>
      <c r="B16" s="6" t="s">
        <v>314</v>
      </c>
    </row>
    <row r="17" spans="1:2" x14ac:dyDescent="0.25">
      <c r="A17" s="5" t="s">
        <v>325</v>
      </c>
      <c r="B17" s="6" t="s">
        <v>326</v>
      </c>
    </row>
    <row r="18" spans="1:2" x14ac:dyDescent="0.25">
      <c r="A18" s="5" t="s">
        <v>327</v>
      </c>
      <c r="B18" s="6" t="s">
        <v>328</v>
      </c>
    </row>
    <row r="19" spans="1:2" x14ac:dyDescent="0.25">
      <c r="A19" s="5" t="s">
        <v>329</v>
      </c>
      <c r="B19" s="6" t="s">
        <v>330</v>
      </c>
    </row>
    <row r="20" spans="1:2" x14ac:dyDescent="0.25">
      <c r="A20" s="5" t="s">
        <v>179</v>
      </c>
      <c r="B20" s="6" t="s">
        <v>331</v>
      </c>
    </row>
    <row r="21" spans="1:2" x14ac:dyDescent="0.25">
      <c r="A21" s="5" t="s">
        <v>166</v>
      </c>
      <c r="B21" s="6" t="s">
        <v>332</v>
      </c>
    </row>
    <row r="22" spans="1:2" x14ac:dyDescent="0.25">
      <c r="A22" s="5" t="s">
        <v>333</v>
      </c>
      <c r="B22" s="6" t="s">
        <v>334</v>
      </c>
    </row>
    <row r="24" spans="1:1" x14ac:dyDescent="0.25">
      <c r="A24" s="3" t="s">
        <v>149</v>
      </c>
    </row>
    <row r="25" ht="22" customHeight="1" spans="1:2" x14ac:dyDescent="0.25">
      <c r="A25" s="4" t="s">
        <v>119</v>
      </c>
      <c r="B25" s="4" t="s">
        <v>11</v>
      </c>
    </row>
    <row r="26" spans="1:2" x14ac:dyDescent="0.25">
      <c r="A26" s="5" t="s">
        <v>335</v>
      </c>
      <c r="B26" s="6" t="s">
        <v>336</v>
      </c>
    </row>
    <row r="27" spans="1:2" x14ac:dyDescent="0.25">
      <c r="A27" s="5" t="s">
        <v>337</v>
      </c>
      <c r="B27" s="6" t="s">
        <v>336</v>
      </c>
    </row>
    <row r="28" spans="1:2" x14ac:dyDescent="0.25">
      <c r="A28" s="5" t="s">
        <v>338</v>
      </c>
      <c r="B28" s="6" t="s">
        <v>339</v>
      </c>
    </row>
    <row r="29" spans="1:2" x14ac:dyDescent="0.25">
      <c r="A29" s="5" t="s">
        <v>340</v>
      </c>
      <c r="B29" s="6" t="s">
        <v>341</v>
      </c>
    </row>
    <row r="30" spans="1:2" x14ac:dyDescent="0.25">
      <c r="A30" s="5" t="s">
        <v>342</v>
      </c>
      <c r="B30" s="6" t="s">
        <v>336</v>
      </c>
    </row>
    <row r="31" spans="1:2" x14ac:dyDescent="0.25">
      <c r="A31" s="5" t="s">
        <v>343</v>
      </c>
      <c r="B31" s="6" t="s">
        <v>344</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FormatPr defaultRowHeight="15" outlineLevelRow="0" outlineLevelCol="0" x14ac:dyDescent="55"/>
  <cols>
    <col min="1" max="1" width="22" customWidth="1"/>
    <col min="2" max="2" width="12" customWidth="1"/>
    <col min="3" max="5" width="60" customWidth="1"/>
  </cols>
  <sheetData>
    <row r="1" ht="28" customHeight="1" spans="1:5" x14ac:dyDescent="0.25">
      <c r="A1" s="1" t="s">
        <v>345</v>
      </c>
      <c r="B1" s="1"/>
      <c r="C1" s="1"/>
      <c r="D1" s="1"/>
      <c r="E1" s="1"/>
    </row>
    <row r="2" ht="30" customHeight="1" spans="1:5" x14ac:dyDescent="0.25">
      <c r="A2" s="2" t="s">
        <v>346</v>
      </c>
      <c r="B2" s="2"/>
      <c r="C2" s="2"/>
      <c r="D2" s="2"/>
      <c r="E2" s="2"/>
    </row>
    <row r="4" ht="22" customHeight="1" spans="1:5" x14ac:dyDescent="0.25">
      <c r="A4" s="4" t="s">
        <v>23</v>
      </c>
      <c r="B4" s="4" t="s">
        <v>24</v>
      </c>
      <c r="C4" s="4" t="s">
        <v>25</v>
      </c>
      <c r="D4" s="4" t="s">
        <v>26</v>
      </c>
      <c r="E4" s="4" t="s">
        <v>27</v>
      </c>
    </row>
    <row r="5" spans="1:5" x14ac:dyDescent="0.25">
      <c r="A5" s="5" t="s">
        <v>28</v>
      </c>
      <c r="B5" s="7" t="s">
        <v>29</v>
      </c>
      <c r="C5" s="6" t="s">
        <v>30</v>
      </c>
      <c r="D5" s="6" t="s">
        <v>31</v>
      </c>
      <c r="E5" s="6" t="s">
        <v>32</v>
      </c>
    </row>
    <row r="6" spans="1:5" x14ac:dyDescent="0.25">
      <c r="A6" s="5" t="s">
        <v>33</v>
      </c>
      <c r="B6" s="8" t="s">
        <v>34</v>
      </c>
      <c r="C6" s="6" t="s">
        <v>35</v>
      </c>
      <c r="D6" s="6" t="s">
        <v>36</v>
      </c>
      <c r="E6" s="6" t="s">
        <v>37</v>
      </c>
    </row>
    <row r="7" spans="1:5" x14ac:dyDescent="0.25">
      <c r="A7" s="5" t="s">
        <v>38</v>
      </c>
      <c r="B7" s="7" t="s">
        <v>29</v>
      </c>
      <c r="C7" s="6" t="s">
        <v>39</v>
      </c>
      <c r="D7" s="6" t="s">
        <v>40</v>
      </c>
      <c r="E7" s="6" t="s">
        <v>41</v>
      </c>
    </row>
    <row r="8" spans="1:5" x14ac:dyDescent="0.25">
      <c r="A8" s="5" t="s">
        <v>42</v>
      </c>
      <c r="B8" s="8" t="s">
        <v>34</v>
      </c>
      <c r="C8" s="6" t="s">
        <v>43</v>
      </c>
      <c r="D8" s="6" t="s">
        <v>44</v>
      </c>
      <c r="E8" s="6" t="s">
        <v>45</v>
      </c>
    </row>
    <row r="9" spans="1:5" x14ac:dyDescent="0.25">
      <c r="A9" s="5" t="s">
        <v>46</v>
      </c>
      <c r="B9" s="7" t="s">
        <v>29</v>
      </c>
      <c r="C9" s="6" t="s">
        <v>47</v>
      </c>
      <c r="D9" s="6" t="s">
        <v>48</v>
      </c>
      <c r="E9" s="6" t="s">
        <v>49</v>
      </c>
    </row>
    <row r="11" spans="1:1" x14ac:dyDescent="0.25">
      <c r="A11" s="3" t="s">
        <v>347</v>
      </c>
    </row>
    <row r="12" ht="22" customHeight="1" spans="1:5" x14ac:dyDescent="0.25">
      <c r="A12" s="4" t="s">
        <v>348</v>
      </c>
      <c r="B12" s="4" t="s">
        <v>117</v>
      </c>
      <c r="C12" s="4" t="s">
        <v>349</v>
      </c>
      <c r="D12" s="4" t="s">
        <v>350</v>
      </c>
      <c r="E12" s="4" t="s">
        <v>121</v>
      </c>
    </row>
    <row r="13" spans="1:5" x14ac:dyDescent="0.25">
      <c r="A13" s="6">
        <v>1</v>
      </c>
      <c r="B13" s="7" t="s">
        <v>124</v>
      </c>
      <c r="C13" s="5" t="s">
        <v>351</v>
      </c>
      <c r="D13" s="6" t="s">
        <v>352</v>
      </c>
      <c r="E13" s="6" t="s">
        <v>353</v>
      </c>
    </row>
    <row r="14" spans="1:5" x14ac:dyDescent="0.25">
      <c r="A14" s="6">
        <v>2</v>
      </c>
      <c r="B14" s="7" t="s">
        <v>124</v>
      </c>
      <c r="C14" s="5" t="s">
        <v>354</v>
      </c>
      <c r="D14" s="6" t="s">
        <v>355</v>
      </c>
      <c r="E14" s="6" t="s">
        <v>356</v>
      </c>
    </row>
    <row r="15" spans="1:5" x14ac:dyDescent="0.25">
      <c r="A15" s="6">
        <v>3</v>
      </c>
      <c r="B15" s="8" t="s">
        <v>135</v>
      </c>
      <c r="C15" s="5" t="s">
        <v>357</v>
      </c>
      <c r="D15" s="6" t="s">
        <v>140</v>
      </c>
      <c r="E15" s="6" t="s">
        <v>358</v>
      </c>
    </row>
    <row r="16" spans="1:5" x14ac:dyDescent="0.25">
      <c r="A16" s="6">
        <v>4</v>
      </c>
      <c r="B16" s="8" t="s">
        <v>135</v>
      </c>
      <c r="C16" s="5" t="s">
        <v>359</v>
      </c>
      <c r="D16" s="6" t="s">
        <v>360</v>
      </c>
      <c r="E16" s="6" t="s">
        <v>361</v>
      </c>
    </row>
    <row r="17" spans="1:5" x14ac:dyDescent="0.25">
      <c r="A17" s="6">
        <v>5</v>
      </c>
      <c r="B17" s="8" t="s">
        <v>135</v>
      </c>
      <c r="C17" s="5" t="s">
        <v>362</v>
      </c>
      <c r="D17" s="6" t="s">
        <v>363</v>
      </c>
      <c r="E17" s="6" t="s">
        <v>106</v>
      </c>
    </row>
    <row r="19" spans="1:1" x14ac:dyDescent="0.25">
      <c r="A19" s="3" t="s">
        <v>364</v>
      </c>
    </row>
    <row r="20" spans="1:3" x14ac:dyDescent="0.25">
      <c r="A20" s="6" t="s">
        <v>107</v>
      </c>
      <c r="B20" s="6" t="s">
        <v>107</v>
      </c>
      <c r="C20" s="6" t="s">
        <v>365</v>
      </c>
    </row>
    <row r="21" spans="1:3" x14ac:dyDescent="0.25">
      <c r="A21" s="6" t="s">
        <v>107</v>
      </c>
      <c r="B21" s="6" t="s">
        <v>107</v>
      </c>
      <c r="C21" s="6" t="s">
        <v>366</v>
      </c>
    </row>
    <row r="22" spans="1:3" x14ac:dyDescent="0.25">
      <c r="A22" s="6" t="s">
        <v>107</v>
      </c>
      <c r="B22" s="6" t="s">
        <v>107</v>
      </c>
      <c r="C22" s="6" t="s">
        <v>367</v>
      </c>
    </row>
    <row r="24" spans="1:1" x14ac:dyDescent="0.25">
      <c r="A24" s="3" t="s">
        <v>368</v>
      </c>
    </row>
    <row r="25" spans="1:3" x14ac:dyDescent="0.25">
      <c r="A25" s="6" t="s">
        <v>107</v>
      </c>
      <c r="B25" s="6" t="s">
        <v>107</v>
      </c>
      <c r="C25" s="6" t="s">
        <v>369</v>
      </c>
    </row>
    <row r="27" spans="1:1" x14ac:dyDescent="0.25">
      <c r="A27" s="3" t="s">
        <v>20</v>
      </c>
    </row>
    <row r="28" spans="1:3" x14ac:dyDescent="0.25">
      <c r="A28" s="6" t="s">
        <v>107</v>
      </c>
      <c r="B28" s="6" t="s">
        <v>107</v>
      </c>
      <c r="C28" s="6" t="s">
        <v>21</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FormatPr defaultRowHeight="15" outlineLevelRow="0" outlineLevelCol="0" x14ac:dyDescent="55"/>
  <cols>
    <col min="1" max="1" width="10" customWidth="1"/>
    <col min="2" max="2" width="44" customWidth="1"/>
    <col min="3" max="3" width="10" customWidth="1"/>
    <col min="4" max="4" width="14" customWidth="1"/>
    <col min="5" max="5" width="8" customWidth="1"/>
    <col min="6" max="6" width="12" customWidth="1"/>
    <col min="7" max="7" width="8" customWidth="1"/>
    <col min="8" max="8" width="26" customWidth="1"/>
    <col min="9" max="9" width="70" customWidth="1"/>
  </cols>
  <sheetData>
    <row r="1" ht="28" customHeight="1" spans="1:9" x14ac:dyDescent="0.25">
      <c r="A1" s="1" t="s">
        <v>370</v>
      </c>
      <c r="B1" s="1"/>
      <c r="C1" s="1"/>
      <c r="D1" s="1"/>
      <c r="E1" s="1"/>
      <c r="F1" s="1"/>
      <c r="G1" s="1"/>
      <c r="H1" s="1"/>
      <c r="I1" s="1"/>
    </row>
    <row r="2" ht="30" customHeight="1" spans="1:9" x14ac:dyDescent="0.25">
      <c r="A2" s="2" t="s">
        <v>371</v>
      </c>
      <c r="B2" s="2"/>
      <c r="C2" s="2"/>
      <c r="D2" s="2"/>
      <c r="E2" s="2"/>
      <c r="F2" s="2"/>
      <c r="G2" s="2"/>
      <c r="H2" s="2"/>
      <c r="I2" s="2"/>
    </row>
    <row r="4" ht="22" customHeight="1" spans="1:9" x14ac:dyDescent="0.25">
      <c r="A4" s="4" t="s">
        <v>372</v>
      </c>
      <c r="B4" s="4" t="s">
        <v>104</v>
      </c>
      <c r="C4" s="4" t="s">
        <v>81</v>
      </c>
      <c r="D4" s="4" t="s">
        <v>23</v>
      </c>
      <c r="E4" s="4" t="s">
        <v>373</v>
      </c>
      <c r="F4" s="4" t="s">
        <v>374</v>
      </c>
      <c r="G4" s="4" t="s">
        <v>375</v>
      </c>
      <c r="H4" s="4" t="s">
        <v>376</v>
      </c>
      <c r="I4" s="4" t="s">
        <v>377</v>
      </c>
    </row>
    <row r="5" spans="1:9" x14ac:dyDescent="0.25">
      <c r="A5" s="6">
        <v>1</v>
      </c>
      <c r="B5" s="6" t="s">
        <v>84</v>
      </c>
      <c r="C5" s="6" t="s">
        <v>85</v>
      </c>
      <c r="D5" s="6" t="s">
        <v>107</v>
      </c>
      <c r="E5" s="6" t="s">
        <v>107</v>
      </c>
      <c r="F5" s="6" t="s">
        <v>107</v>
      </c>
      <c r="G5" s="6" t="s">
        <v>107</v>
      </c>
      <c r="H5" s="6" t="s">
        <v>107</v>
      </c>
      <c r="I5" s="6" t="s">
        <v>107</v>
      </c>
    </row>
    <row r="6" spans="1:9" x14ac:dyDescent="0.25">
      <c r="A6" s="6">
        <v>2</v>
      </c>
      <c r="B6" s="6" t="s">
        <v>88</v>
      </c>
      <c r="C6" s="6" t="s">
        <v>89</v>
      </c>
      <c r="D6" s="6" t="s">
        <v>107</v>
      </c>
      <c r="E6" s="6" t="s">
        <v>107</v>
      </c>
      <c r="F6" s="6" t="s">
        <v>107</v>
      </c>
      <c r="G6" s="6" t="s">
        <v>107</v>
      </c>
      <c r="H6" s="6" t="s">
        <v>107</v>
      </c>
      <c r="I6" s="6" t="s">
        <v>107</v>
      </c>
    </row>
    <row r="7" spans="1:9" x14ac:dyDescent="0.25">
      <c r="A7" s="6">
        <v>3</v>
      </c>
      <c r="B7" s="6" t="s">
        <v>90</v>
      </c>
      <c r="C7" s="6" t="s">
        <v>85</v>
      </c>
      <c r="D7" s="6" t="s">
        <v>107</v>
      </c>
      <c r="E7" s="6" t="s">
        <v>107</v>
      </c>
      <c r="F7" s="6" t="s">
        <v>107</v>
      </c>
      <c r="G7" s="6" t="s">
        <v>107</v>
      </c>
      <c r="H7" s="6" t="s">
        <v>107</v>
      </c>
      <c r="I7" s="6" t="s">
        <v>107</v>
      </c>
    </row>
    <row r="8" spans="1:9" x14ac:dyDescent="0.25">
      <c r="A8" s="6">
        <v>4</v>
      </c>
      <c r="B8" s="6" t="s">
        <v>91</v>
      </c>
      <c r="C8" s="6" t="s">
        <v>89</v>
      </c>
      <c r="D8" s="6" t="s">
        <v>107</v>
      </c>
      <c r="E8" s="6" t="s">
        <v>107</v>
      </c>
      <c r="F8" s="6" t="s">
        <v>107</v>
      </c>
      <c r="G8" s="6" t="s">
        <v>107</v>
      </c>
      <c r="H8" s="6" t="s">
        <v>107</v>
      </c>
      <c r="I8" s="6" t="s">
        <v>107</v>
      </c>
    </row>
    <row r="9" spans="1:9" x14ac:dyDescent="0.25">
      <c r="A9" s="6">
        <v>5</v>
      </c>
      <c r="B9" s="6" t="s">
        <v>93</v>
      </c>
      <c r="C9" s="6" t="s">
        <v>85</v>
      </c>
      <c r="D9" s="6" t="s">
        <v>107</v>
      </c>
      <c r="E9" s="6" t="s">
        <v>107</v>
      </c>
      <c r="F9" s="6" t="s">
        <v>107</v>
      </c>
      <c r="G9" s="6" t="s">
        <v>107</v>
      </c>
      <c r="H9" s="6" t="s">
        <v>107</v>
      </c>
      <c r="I9" s="6" t="s">
        <v>107</v>
      </c>
    </row>
    <row r="11" ht="36" customHeight="1" spans="1:9" x14ac:dyDescent="0.25">
      <c r="A11" s="10" t="s">
        <v>378</v>
      </c>
      <c r="B11" s="10"/>
      <c r="C11" s="10"/>
      <c r="D11" s="10"/>
      <c r="E11" s="10"/>
      <c r="F11" s="10"/>
      <c r="G11" s="10"/>
      <c r="H11" s="10"/>
      <c r="I11" s="10"/>
    </row>
  </sheetData>
  <mergeCells count="3">
    <mergeCell ref="A1:I1"/>
    <mergeCell ref="A2:I2"/>
    <mergeCell ref="A11:I1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cols>
    <col min="1" max="1" width="6" customWidth="1"/>
    <col min="2" max="2" width="24" customWidth="1"/>
    <col min="3" max="3" width="110" customWidth="1"/>
  </cols>
  <sheetData>
    <row r="1" ht="28" customHeight="1" spans="1:3" x14ac:dyDescent="0.25">
      <c r="A1" s="1" t="s">
        <v>379</v>
      </c>
      <c r="B1" s="1"/>
      <c r="C1" s="1"/>
    </row>
    <row r="2" ht="30" customHeight="1" spans="1:3" x14ac:dyDescent="0.25">
      <c r="A2" s="2" t="s">
        <v>380</v>
      </c>
      <c r="B2" s="2"/>
      <c r="C2" s="2"/>
    </row>
    <row r="4" ht="22" customHeight="1" spans="1:3" x14ac:dyDescent="0.25">
      <c r="A4" s="4" t="s">
        <v>79</v>
      </c>
      <c r="B4" s="4" t="s">
        <v>3</v>
      </c>
      <c r="C4" s="4" t="s">
        <v>381</v>
      </c>
    </row>
    <row r="5" spans="1:3" x14ac:dyDescent="0.25">
      <c r="A5" s="6">
        <v>1</v>
      </c>
      <c r="B5" s="5" t="s">
        <v>382</v>
      </c>
      <c r="C5" s="6" t="s">
        <v>383</v>
      </c>
    </row>
    <row r="6" spans="1:3" x14ac:dyDescent="0.25">
      <c r="A6" s="6">
        <v>2</v>
      </c>
      <c r="B6" s="5" t="s">
        <v>384</v>
      </c>
      <c r="C6" s="6" t="s">
        <v>385</v>
      </c>
    </row>
    <row r="7" spans="1:3" x14ac:dyDescent="0.25">
      <c r="A7" s="6">
        <v>3</v>
      </c>
      <c r="B7" s="5" t="s">
        <v>386</v>
      </c>
      <c r="C7" s="6" t="s">
        <v>387</v>
      </c>
    </row>
    <row r="8" spans="1:3" x14ac:dyDescent="0.25">
      <c r="A8" s="6">
        <v>4</v>
      </c>
      <c r="B8" s="5" t="s">
        <v>388</v>
      </c>
      <c r="C8" s="6" t="s">
        <v>389</v>
      </c>
    </row>
    <row r="9" spans="1:3" x14ac:dyDescent="0.25">
      <c r="A9" s="6">
        <v>5</v>
      </c>
      <c r="B9" s="5" t="s">
        <v>140</v>
      </c>
      <c r="C9" s="6" t="s">
        <v>390</v>
      </c>
    </row>
    <row r="10" spans="1:3" x14ac:dyDescent="0.25">
      <c r="A10" s="6">
        <v>6</v>
      </c>
      <c r="B10" s="5" t="s">
        <v>149</v>
      </c>
      <c r="C10" s="6" t="s">
        <v>391</v>
      </c>
    </row>
    <row r="11" spans="1:3" x14ac:dyDescent="0.25">
      <c r="A11" s="6">
        <v>7</v>
      </c>
      <c r="B11" s="5" t="s">
        <v>392</v>
      </c>
      <c r="C11" s="6" t="s">
        <v>393</v>
      </c>
    </row>
    <row r="12" spans="1:3" x14ac:dyDescent="0.25">
      <c r="A12" s="6">
        <v>8</v>
      </c>
      <c r="B12" s="5" t="s">
        <v>394</v>
      </c>
      <c r="C12" s="6" t="s">
        <v>395</v>
      </c>
    </row>
    <row r="13" spans="1:3" x14ac:dyDescent="0.25">
      <c r="A13" s="6">
        <v>9</v>
      </c>
      <c r="B13" s="5" t="s">
        <v>396</v>
      </c>
      <c r="C13" s="6" t="s">
        <v>397</v>
      </c>
    </row>
    <row r="15" spans="1:1" x14ac:dyDescent="0.25">
      <c r="A15" s="3" t="s">
        <v>398</v>
      </c>
    </row>
    <row r="16" spans="1:3" x14ac:dyDescent="0.25">
      <c r="A16" s="6">
        <v>10</v>
      </c>
      <c r="B16" s="6" t="s">
        <v>392</v>
      </c>
      <c r="C16" s="6" t="s">
        <v>399</v>
      </c>
    </row>
    <row r="17" spans="1:3" x14ac:dyDescent="0.25">
      <c r="A17" s="6">
        <v>11</v>
      </c>
      <c r="B17" s="6" t="s">
        <v>392</v>
      </c>
      <c r="C17" s="6" t="s">
        <v>400</v>
      </c>
    </row>
    <row r="18" spans="1:3" x14ac:dyDescent="0.25">
      <c r="A18" s="6">
        <v>12</v>
      </c>
      <c r="B18" s="6" t="s">
        <v>392</v>
      </c>
      <c r="C18" s="6" t="s">
        <v>401</v>
      </c>
    </row>
    <row r="19" spans="1:3" x14ac:dyDescent="0.25">
      <c r="A19" s="6">
        <v>13</v>
      </c>
      <c r="B19" s="6" t="s">
        <v>392</v>
      </c>
      <c r="C19" s="6" t="s">
        <v>402</v>
      </c>
    </row>
    <row r="20" spans="1:3" x14ac:dyDescent="0.25">
      <c r="A20" s="6">
        <v>14</v>
      </c>
      <c r="B20" s="6" t="s">
        <v>392</v>
      </c>
      <c r="C20" s="6" t="s">
        <v>403</v>
      </c>
    </row>
    <row r="22" spans="1:3" x14ac:dyDescent="0.25">
      <c r="A22" s="6" t="s">
        <v>107</v>
      </c>
      <c r="B22" s="5" t="s">
        <v>404</v>
      </c>
      <c r="C22" s="6" t="s">
        <v>405</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FormatPr defaultRowHeight="15" outlineLevelRow="0" outlineLevelCol="0" x14ac:dyDescent="55"/>
  <cols>
    <col min="1" max="1" width="6" customWidth="1"/>
    <col min="2" max="2" width="12" customWidth="1"/>
    <col min="3" max="4" width="44" customWidth="1"/>
    <col min="5" max="5" width="90" customWidth="1"/>
  </cols>
  <sheetData>
    <row r="1" ht="28" customHeight="1" spans="1:5" x14ac:dyDescent="0.25">
      <c r="A1" s="1" t="s">
        <v>406</v>
      </c>
      <c r="B1" s="1"/>
      <c r="C1" s="1"/>
      <c r="D1" s="1"/>
      <c r="E1" s="1"/>
    </row>
    <row r="2" ht="30" customHeight="1" spans="1:5" x14ac:dyDescent="0.25">
      <c r="A2" s="2" t="s">
        <v>407</v>
      </c>
      <c r="B2" s="2"/>
      <c r="C2" s="2"/>
      <c r="D2" s="2"/>
      <c r="E2" s="2"/>
    </row>
    <row r="4" ht="22" customHeight="1" spans="1:5" x14ac:dyDescent="0.25">
      <c r="A4" s="4" t="s">
        <v>79</v>
      </c>
      <c r="B4" s="4" t="s">
        <v>408</v>
      </c>
      <c r="C4" s="4" t="s">
        <v>409</v>
      </c>
      <c r="D4" s="4" t="s">
        <v>410</v>
      </c>
      <c r="E4" s="4" t="s">
        <v>411</v>
      </c>
    </row>
    <row r="5" spans="1:5" x14ac:dyDescent="0.25">
      <c r="A5" s="6">
        <v>1</v>
      </c>
      <c r="B5" s="9" t="s">
        <v>86</v>
      </c>
      <c r="C5" s="6" t="s">
        <v>84</v>
      </c>
      <c r="D5" s="5" t="s">
        <v>412</v>
      </c>
      <c r="E5" s="6" t="s">
        <v>413</v>
      </c>
    </row>
    <row r="6" spans="1:5" x14ac:dyDescent="0.25">
      <c r="A6" s="6">
        <v>2</v>
      </c>
      <c r="B6" s="9" t="s">
        <v>86</v>
      </c>
      <c r="C6" s="6" t="s">
        <v>88</v>
      </c>
      <c r="D6" s="5" t="s">
        <v>414</v>
      </c>
      <c r="E6" s="6" t="s">
        <v>413</v>
      </c>
    </row>
    <row r="7" spans="1:5" x14ac:dyDescent="0.25">
      <c r="A7" s="6">
        <v>3</v>
      </c>
      <c r="B7" s="9" t="s">
        <v>86</v>
      </c>
      <c r="C7" s="6" t="s">
        <v>90</v>
      </c>
      <c r="D7" s="5" t="s">
        <v>415</v>
      </c>
      <c r="E7" s="6" t="s">
        <v>413</v>
      </c>
    </row>
    <row r="8" spans="1:5" x14ac:dyDescent="0.25">
      <c r="A8" s="6">
        <v>4</v>
      </c>
      <c r="B8" s="9" t="s">
        <v>92</v>
      </c>
      <c r="C8" s="6" t="s">
        <v>91</v>
      </c>
      <c r="D8" s="5" t="s">
        <v>416</v>
      </c>
      <c r="E8" s="6" t="s">
        <v>413</v>
      </c>
    </row>
    <row r="9" spans="1:5" x14ac:dyDescent="0.25">
      <c r="A9" s="6">
        <v>5</v>
      </c>
      <c r="B9" s="9" t="s">
        <v>92</v>
      </c>
      <c r="C9" s="6" t="s">
        <v>93</v>
      </c>
      <c r="D9" s="5" t="s">
        <v>93</v>
      </c>
      <c r="E9" s="6" t="s">
        <v>413</v>
      </c>
    </row>
    <row r="10" spans="1:5" x14ac:dyDescent="0.25">
      <c r="A10" s="6">
        <v>6</v>
      </c>
      <c r="B10" s="9" t="s">
        <v>95</v>
      </c>
      <c r="C10" s="6" t="s">
        <v>94</v>
      </c>
      <c r="D10" s="5" t="s">
        <v>417</v>
      </c>
      <c r="E10" s="6" t="s">
        <v>413</v>
      </c>
    </row>
    <row r="11" spans="1:5" x14ac:dyDescent="0.25">
      <c r="A11" s="6">
        <v>7</v>
      </c>
      <c r="B11" s="9" t="s">
        <v>95</v>
      </c>
      <c r="C11" s="6" t="s">
        <v>96</v>
      </c>
      <c r="D11" s="5" t="s">
        <v>418</v>
      </c>
      <c r="E11" s="6" t="s">
        <v>413</v>
      </c>
    </row>
    <row r="12" spans="1:5" x14ac:dyDescent="0.25">
      <c r="A12" s="6">
        <v>8</v>
      </c>
      <c r="B12" s="9" t="s">
        <v>95</v>
      </c>
      <c r="C12" s="6" t="s">
        <v>97</v>
      </c>
      <c r="D12" s="5" t="s">
        <v>419</v>
      </c>
      <c r="E12" s="6" t="s">
        <v>413</v>
      </c>
    </row>
    <row r="13" spans="1:5" x14ac:dyDescent="0.25">
      <c r="A13" s="6">
        <v>9</v>
      </c>
      <c r="B13" s="9" t="s">
        <v>99</v>
      </c>
      <c r="C13" s="6" t="s">
        <v>98</v>
      </c>
      <c r="D13" s="5" t="s">
        <v>420</v>
      </c>
      <c r="E13" s="6" t="s">
        <v>413</v>
      </c>
    </row>
    <row r="14" spans="1:5" x14ac:dyDescent="0.25">
      <c r="A14" s="6">
        <v>10</v>
      </c>
      <c r="B14" s="9" t="s">
        <v>99</v>
      </c>
      <c r="C14" s="6" t="s">
        <v>100</v>
      </c>
      <c r="D14" s="5" t="s">
        <v>421</v>
      </c>
      <c r="E14" s="6" t="s">
        <v>413</v>
      </c>
    </row>
    <row r="16" spans="1:1" x14ac:dyDescent="0.25">
      <c r="A16" s="3" t="s">
        <v>422</v>
      </c>
    </row>
    <row r="17" ht="22" customHeight="1" spans="1:5" x14ac:dyDescent="0.25">
      <c r="A17" s="4" t="s">
        <v>79</v>
      </c>
      <c r="B17" s="4" t="s">
        <v>107</v>
      </c>
      <c r="C17" s="4" t="s">
        <v>104</v>
      </c>
      <c r="D17" s="4" t="s">
        <v>107</v>
      </c>
      <c r="E17" s="4" t="s">
        <v>423</v>
      </c>
    </row>
    <row r="18" spans="1:5" x14ac:dyDescent="0.25">
      <c r="A18" s="6">
        <v>1</v>
      </c>
      <c r="B18" s="6" t="s">
        <v>107</v>
      </c>
      <c r="C18" s="5" t="s">
        <v>424</v>
      </c>
      <c r="D18" s="6" t="s">
        <v>107</v>
      </c>
      <c r="E18" s="6" t="s">
        <v>425</v>
      </c>
    </row>
    <row r="19" spans="1:5" x14ac:dyDescent="0.25">
      <c r="A19" s="6">
        <v>2</v>
      </c>
      <c r="B19" s="6" t="s">
        <v>107</v>
      </c>
      <c r="C19" s="5" t="s">
        <v>426</v>
      </c>
      <c r="D19" s="6" t="s">
        <v>107</v>
      </c>
      <c r="E19" s="6" t="s">
        <v>427</v>
      </c>
    </row>
    <row r="20" spans="1:5" x14ac:dyDescent="0.25">
      <c r="A20" s="6">
        <v>3</v>
      </c>
      <c r="B20" s="6" t="s">
        <v>107</v>
      </c>
      <c r="C20" s="5" t="s">
        <v>428</v>
      </c>
      <c r="D20" s="6" t="s">
        <v>107</v>
      </c>
      <c r="E20" s="6" t="s">
        <v>429</v>
      </c>
    </row>
    <row r="21" spans="1:5" x14ac:dyDescent="0.25">
      <c r="A21" s="6">
        <v>4</v>
      </c>
      <c r="B21" s="6" t="s">
        <v>107</v>
      </c>
      <c r="C21" s="5" t="s">
        <v>430</v>
      </c>
      <c r="D21" s="6" t="s">
        <v>107</v>
      </c>
      <c r="E21" s="6" t="s">
        <v>431</v>
      </c>
    </row>
    <row r="22" spans="1:5" x14ac:dyDescent="0.25">
      <c r="A22" s="6">
        <v>5</v>
      </c>
      <c r="B22" s="6" t="s">
        <v>107</v>
      </c>
      <c r="C22" s="5" t="s">
        <v>432</v>
      </c>
      <c r="D22" s="6" t="s">
        <v>107</v>
      </c>
      <c r="E22" s="6" t="s">
        <v>433</v>
      </c>
    </row>
    <row r="24" spans="1:1" x14ac:dyDescent="0.25">
      <c r="A24" s="3" t="s">
        <v>434</v>
      </c>
    </row>
    <row r="25" ht="22" customHeight="1" spans="1:4" x14ac:dyDescent="0.25">
      <c r="A25" s="4" t="s">
        <v>435</v>
      </c>
      <c r="B25" s="4" t="s">
        <v>436</v>
      </c>
      <c r="C25" s="4" t="s">
        <v>437</v>
      </c>
      <c r="D25" s="4" t="s">
        <v>438</v>
      </c>
    </row>
    <row r="26" spans="1:4" x14ac:dyDescent="0.25">
      <c r="A26" s="5" t="s">
        <v>439</v>
      </c>
      <c r="B26" s="6" t="s">
        <v>440</v>
      </c>
      <c r="C26" s="6" t="s">
        <v>441</v>
      </c>
      <c r="D26" s="6" t="s">
        <v>442</v>
      </c>
    </row>
    <row r="27" spans="1:4" x14ac:dyDescent="0.25">
      <c r="A27" s="5" t="s">
        <v>443</v>
      </c>
      <c r="B27" s="6" t="s">
        <v>444</v>
      </c>
      <c r="C27" s="6" t="s">
        <v>445</v>
      </c>
      <c r="D27" s="6" t="s">
        <v>446</v>
      </c>
    </row>
    <row r="28" spans="1:4" x14ac:dyDescent="0.25">
      <c r="A28" s="5" t="s">
        <v>447</v>
      </c>
      <c r="B28" s="6" t="s">
        <v>448</v>
      </c>
      <c r="C28" s="6" t="s">
        <v>445</v>
      </c>
      <c r="D28" s="6" t="s">
        <v>446</v>
      </c>
    </row>
    <row r="29" spans="1:4" x14ac:dyDescent="0.25">
      <c r="A29" s="5" t="s">
        <v>449</v>
      </c>
      <c r="B29" s="6" t="s">
        <v>450</v>
      </c>
      <c r="C29" s="6" t="s">
        <v>445</v>
      </c>
      <c r="D29" s="6" t="s">
        <v>451</v>
      </c>
    </row>
    <row r="30" spans="1:4" x14ac:dyDescent="0.25">
      <c r="A30" s="5" t="s">
        <v>452</v>
      </c>
      <c r="B30" s="6" t="s">
        <v>453</v>
      </c>
      <c r="C30" s="6" t="s">
        <v>445</v>
      </c>
      <c r="D30" s="6" t="s">
        <v>454</v>
      </c>
    </row>
    <row r="32" ht="36" customHeight="1" spans="1:5" x14ac:dyDescent="0.25">
      <c r="A32" s="10" t="s">
        <v>455</v>
      </c>
      <c r="B32" s="10"/>
      <c r="C32" s="10"/>
      <c r="D32" s="10"/>
      <c r="E32" s="10"/>
    </row>
  </sheetData>
  <mergeCells count="3">
    <mergeCell ref="A1:E1"/>
    <mergeCell ref="A2:E2"/>
    <mergeCell ref="A32:E3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FormatPr defaultRowHeight="15" outlineLevelRow="0" outlineLevelCol="0" x14ac:dyDescent="55"/>
  <cols>
    <col min="1" max="1" width="6" customWidth="1"/>
    <col min="2" max="2" width="70" customWidth="1"/>
    <col min="3" max="3" width="44" customWidth="1"/>
    <col min="4" max="4" width="40" customWidth="1"/>
    <col min="5" max="5" width="28" customWidth="1"/>
    <col min="6" max="6" width="30" customWidth="1"/>
  </cols>
  <sheetData>
    <row r="1" ht="28" customHeight="1" spans="1:6" x14ac:dyDescent="0.25">
      <c r="A1" s="1" t="s">
        <v>456</v>
      </c>
      <c r="B1" s="1"/>
      <c r="C1" s="1"/>
      <c r="D1" s="1"/>
      <c r="E1" s="1"/>
      <c r="F1" s="1"/>
    </row>
    <row r="2" ht="30" customHeight="1" spans="1:6" x14ac:dyDescent="0.25">
      <c r="A2" s="2" t="s">
        <v>457</v>
      </c>
      <c r="B2" s="2"/>
      <c r="C2" s="2"/>
      <c r="D2" s="2"/>
      <c r="E2" s="2"/>
      <c r="F2" s="2"/>
    </row>
    <row r="5" spans="1:1" x14ac:dyDescent="0.25">
      <c r="A5" s="3" t="s">
        <v>458</v>
      </c>
    </row>
    <row r="6" ht="22" customHeight="1" spans="1:6" x14ac:dyDescent="0.25">
      <c r="A6" s="4" t="s">
        <v>79</v>
      </c>
      <c r="B6" s="4" t="s">
        <v>459</v>
      </c>
      <c r="C6" s="4" t="s">
        <v>460</v>
      </c>
      <c r="D6" s="4" t="s">
        <v>461</v>
      </c>
      <c r="E6" s="4" t="s">
        <v>462</v>
      </c>
      <c r="F6" s="4" t="s">
        <v>107</v>
      </c>
    </row>
    <row r="7" spans="1:6" x14ac:dyDescent="0.25">
      <c r="A7" s="6">
        <v>1</v>
      </c>
      <c r="B7" s="5" t="s">
        <v>463</v>
      </c>
      <c r="C7" s="6" t="s">
        <v>464</v>
      </c>
      <c r="D7" s="6" t="s">
        <v>465</v>
      </c>
      <c r="E7" s="6" t="s">
        <v>356</v>
      </c>
      <c r="F7" s="6" t="s">
        <v>107</v>
      </c>
    </row>
    <row r="8" spans="1:6" x14ac:dyDescent="0.25">
      <c r="A8" s="6">
        <v>2</v>
      </c>
      <c r="B8" s="5" t="s">
        <v>466</v>
      </c>
      <c r="C8" s="6" t="s">
        <v>467</v>
      </c>
      <c r="D8" s="6" t="s">
        <v>468</v>
      </c>
      <c r="E8" s="6" t="s">
        <v>353</v>
      </c>
      <c r="F8" s="6" t="s">
        <v>107</v>
      </c>
    </row>
    <row r="9" spans="1:6" x14ac:dyDescent="0.25">
      <c r="A9" s="6">
        <v>3</v>
      </c>
      <c r="B9" s="5" t="s">
        <v>469</v>
      </c>
      <c r="C9" s="6" t="s">
        <v>470</v>
      </c>
      <c r="D9" s="6" t="s">
        <v>471</v>
      </c>
      <c r="E9" s="6" t="s">
        <v>472</v>
      </c>
      <c r="F9" s="6" t="s">
        <v>107</v>
      </c>
    </row>
    <row r="10" spans="1:6" x14ac:dyDescent="0.25">
      <c r="A10" s="6">
        <v>4</v>
      </c>
      <c r="B10" s="5" t="s">
        <v>473</v>
      </c>
      <c r="C10" s="6" t="s">
        <v>474</v>
      </c>
      <c r="D10" s="6" t="s">
        <v>475</v>
      </c>
      <c r="E10" s="6" t="s">
        <v>28</v>
      </c>
      <c r="F10" s="6" t="s">
        <v>107</v>
      </c>
    </row>
    <row r="11" spans="1:6" x14ac:dyDescent="0.25">
      <c r="A11" s="6">
        <v>5</v>
      </c>
      <c r="B11" s="5" t="s">
        <v>476</v>
      </c>
      <c r="C11" s="6" t="s">
        <v>477</v>
      </c>
      <c r="D11" s="6" t="s">
        <v>478</v>
      </c>
      <c r="E11" s="6" t="s">
        <v>479</v>
      </c>
      <c r="F11" s="6" t="s">
        <v>107</v>
      </c>
    </row>
    <row r="13" spans="1:1" x14ac:dyDescent="0.25">
      <c r="A13" s="3" t="s">
        <v>480</v>
      </c>
    </row>
    <row r="14" spans="1:2" x14ac:dyDescent="0.25">
      <c r="A14" s="6" t="s">
        <v>481</v>
      </c>
      <c r="B14" s="6" t="s">
        <v>482</v>
      </c>
    </row>
    <row r="15" spans="1:2" x14ac:dyDescent="0.25">
      <c r="A15" s="6" t="s">
        <v>483</v>
      </c>
      <c r="B15" s="6" t="s">
        <v>484</v>
      </c>
    </row>
    <row r="16" spans="1:2" x14ac:dyDescent="0.25">
      <c r="A16" s="6" t="s">
        <v>485</v>
      </c>
      <c r="B16" s="6" t="s">
        <v>486</v>
      </c>
    </row>
    <row r="17" spans="1:2" x14ac:dyDescent="0.25">
      <c r="A17" s="6" t="s">
        <v>487</v>
      </c>
      <c r="B17" s="6" t="s">
        <v>488</v>
      </c>
    </row>
    <row r="18" spans="1:2" x14ac:dyDescent="0.25">
      <c r="A18" s="6" t="s">
        <v>489</v>
      </c>
      <c r="B18" s="6" t="s">
        <v>490</v>
      </c>
    </row>
    <row r="20" spans="1:1" x14ac:dyDescent="0.25">
      <c r="A20" s="3" t="s">
        <v>491</v>
      </c>
    </row>
    <row r="21" spans="1:2" x14ac:dyDescent="0.25">
      <c r="A21" s="6" t="s">
        <v>492</v>
      </c>
      <c r="B21" s="6" t="s">
        <v>493</v>
      </c>
    </row>
    <row r="22" spans="1:2" x14ac:dyDescent="0.25">
      <c r="A22" s="6" t="s">
        <v>494</v>
      </c>
      <c r="B22" s="6" t="s">
        <v>495</v>
      </c>
    </row>
    <row r="23" spans="1:2" x14ac:dyDescent="0.25">
      <c r="A23" s="6" t="s">
        <v>496</v>
      </c>
      <c r="B23" s="6" t="s">
        <v>497</v>
      </c>
    </row>
    <row r="24" spans="1:2" x14ac:dyDescent="0.25">
      <c r="A24" s="6" t="s">
        <v>498</v>
      </c>
      <c r="B24" s="6" t="s">
        <v>499</v>
      </c>
    </row>
    <row r="25" spans="1:2" x14ac:dyDescent="0.25">
      <c r="A25" s="6" t="s">
        <v>500</v>
      </c>
      <c r="B25" s="6" t="s">
        <v>501</v>
      </c>
    </row>
    <row r="27" spans="1:1" x14ac:dyDescent="0.25">
      <c r="A27" s="3" t="s">
        <v>502</v>
      </c>
    </row>
    <row r="28" ht="22" customHeight="1" spans="1:6" x14ac:dyDescent="0.25">
      <c r="A28" s="4" t="s">
        <v>107</v>
      </c>
      <c r="B28" s="4" t="s">
        <v>503</v>
      </c>
      <c r="C28" s="4" t="s">
        <v>504</v>
      </c>
      <c r="D28" s="4" t="s">
        <v>505</v>
      </c>
      <c r="E28" s="4" t="s">
        <v>506</v>
      </c>
      <c r="F28" s="4" t="s">
        <v>507</v>
      </c>
    </row>
    <row r="29" spans="1:6" x14ac:dyDescent="0.25">
      <c r="A29" s="6">
        <v>1</v>
      </c>
      <c r="B29" s="5" t="s">
        <v>508</v>
      </c>
      <c r="C29" s="6" t="s">
        <v>509</v>
      </c>
      <c r="D29" s="6" t="s">
        <v>510</v>
      </c>
      <c r="E29" s="6" t="s">
        <v>511</v>
      </c>
      <c r="F29" s="6" t="s">
        <v>512</v>
      </c>
    </row>
    <row r="30" spans="1:6" x14ac:dyDescent="0.25">
      <c r="A30" s="6">
        <v>2</v>
      </c>
      <c r="B30" s="5" t="s">
        <v>513</v>
      </c>
      <c r="C30" s="6" t="s">
        <v>514</v>
      </c>
      <c r="D30" s="6" t="s">
        <v>515</v>
      </c>
      <c r="E30" s="6" t="s">
        <v>516</v>
      </c>
      <c r="F30" s="6" t="s">
        <v>517</v>
      </c>
    </row>
    <row r="31" spans="1:6" x14ac:dyDescent="0.25">
      <c r="A31" s="6">
        <v>3</v>
      </c>
      <c r="B31" s="5" t="s">
        <v>518</v>
      </c>
      <c r="C31" s="6" t="s">
        <v>519</v>
      </c>
      <c r="D31" s="6" t="s">
        <v>520</v>
      </c>
      <c r="E31" s="6" t="s">
        <v>521</v>
      </c>
      <c r="F31" s="6" t="s">
        <v>522</v>
      </c>
    </row>
    <row r="33" ht="36" customHeight="1" spans="1:6" x14ac:dyDescent="0.25">
      <c r="A33" s="10" t="s">
        <v>523</v>
      </c>
      <c r="B33" s="10"/>
      <c r="C33" s="10"/>
      <c r="D33" s="10"/>
      <c r="E33" s="10"/>
      <c r="F33" s="10"/>
    </row>
  </sheetData>
  <mergeCells count="3">
    <mergeCell ref="A1:F1"/>
    <mergeCell ref="A2:F2"/>
    <mergeCell ref="A33:F3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1" width="6" customWidth="1"/>
    <col min="2" max="2" width="12" customWidth="1"/>
    <col min="3" max="3" width="70" customWidth="1"/>
    <col min="4" max="4" width="60" customWidth="1"/>
    <col min="5" max="5" width="40" customWidth="1"/>
  </cols>
  <sheetData>
    <row r="1" ht="28" customHeight="1" spans="1:5" x14ac:dyDescent="0.25">
      <c r="A1" s="1" t="s">
        <v>524</v>
      </c>
      <c r="B1" s="1"/>
      <c r="C1" s="1"/>
      <c r="D1" s="1"/>
      <c r="E1" s="1"/>
    </row>
    <row r="2" ht="30" customHeight="1" spans="1:5" x14ac:dyDescent="0.25">
      <c r="A2" s="2" t="s">
        <v>525</v>
      </c>
      <c r="B2" s="2"/>
      <c r="C2" s="2"/>
      <c r="D2" s="2"/>
      <c r="E2" s="2"/>
    </row>
    <row r="5" spans="1:1" x14ac:dyDescent="0.25">
      <c r="A5" s="3" t="s">
        <v>526</v>
      </c>
    </row>
    <row r="6" ht="22" customHeight="1" spans="1:5" x14ac:dyDescent="0.25">
      <c r="A6" s="4" t="s">
        <v>79</v>
      </c>
      <c r="B6" s="4" t="s">
        <v>408</v>
      </c>
      <c r="C6" s="4" t="s">
        <v>527</v>
      </c>
      <c r="D6" s="4" t="s">
        <v>528</v>
      </c>
      <c r="E6" s="4" t="s">
        <v>107</v>
      </c>
    </row>
    <row r="7" spans="1:5" x14ac:dyDescent="0.25">
      <c r="A7" s="6">
        <v>1</v>
      </c>
      <c r="B7" s="9" t="s">
        <v>86</v>
      </c>
      <c r="C7" s="5" t="s">
        <v>84</v>
      </c>
      <c r="D7" s="6" t="s">
        <v>529</v>
      </c>
      <c r="E7" s="6" t="s">
        <v>107</v>
      </c>
    </row>
    <row r="8" spans="1:5" x14ac:dyDescent="0.25">
      <c r="A8" s="6">
        <v>2</v>
      </c>
      <c r="B8" s="9" t="s">
        <v>86</v>
      </c>
      <c r="C8" s="5" t="s">
        <v>88</v>
      </c>
      <c r="D8" s="6" t="s">
        <v>530</v>
      </c>
      <c r="E8" s="6" t="s">
        <v>107</v>
      </c>
    </row>
    <row r="9" spans="1:5" x14ac:dyDescent="0.25">
      <c r="A9" s="6">
        <v>3</v>
      </c>
      <c r="B9" s="9" t="s">
        <v>86</v>
      </c>
      <c r="C9" s="5" t="s">
        <v>90</v>
      </c>
      <c r="D9" s="6" t="s">
        <v>531</v>
      </c>
      <c r="E9" s="6" t="s">
        <v>107</v>
      </c>
    </row>
    <row r="10" spans="1:5" x14ac:dyDescent="0.25">
      <c r="A10" s="6">
        <v>4</v>
      </c>
      <c r="B10" s="9" t="s">
        <v>92</v>
      </c>
      <c r="C10" s="5" t="s">
        <v>91</v>
      </c>
      <c r="D10" s="6" t="s">
        <v>529</v>
      </c>
      <c r="E10" s="6" t="s">
        <v>107</v>
      </c>
    </row>
    <row r="11" spans="1:5" x14ac:dyDescent="0.25">
      <c r="A11" s="6">
        <v>5</v>
      </c>
      <c r="B11" s="9" t="s">
        <v>92</v>
      </c>
      <c r="C11" s="5" t="s">
        <v>93</v>
      </c>
      <c r="D11" s="6" t="s">
        <v>530</v>
      </c>
      <c r="E11" s="6" t="s">
        <v>107</v>
      </c>
    </row>
    <row r="12" spans="1:5" x14ac:dyDescent="0.25">
      <c r="A12" s="6">
        <v>6</v>
      </c>
      <c r="B12" s="9" t="s">
        <v>95</v>
      </c>
      <c r="C12" s="5" t="s">
        <v>94</v>
      </c>
      <c r="D12" s="6" t="s">
        <v>531</v>
      </c>
      <c r="E12" s="6" t="s">
        <v>107</v>
      </c>
    </row>
    <row r="13" spans="1:5" x14ac:dyDescent="0.25">
      <c r="A13" s="6">
        <v>7</v>
      </c>
      <c r="B13" s="9" t="s">
        <v>95</v>
      </c>
      <c r="C13" s="5" t="s">
        <v>96</v>
      </c>
      <c r="D13" s="6" t="s">
        <v>529</v>
      </c>
      <c r="E13" s="6" t="s">
        <v>107</v>
      </c>
    </row>
    <row r="14" spans="1:5" x14ac:dyDescent="0.25">
      <c r="A14" s="6">
        <v>8</v>
      </c>
      <c r="B14" s="9" t="s">
        <v>95</v>
      </c>
      <c r="C14" s="5" t="s">
        <v>97</v>
      </c>
      <c r="D14" s="6" t="s">
        <v>530</v>
      </c>
      <c r="E14" s="6" t="s">
        <v>107</v>
      </c>
    </row>
    <row r="15" spans="1:5" x14ac:dyDescent="0.25">
      <c r="A15" s="6">
        <v>9</v>
      </c>
      <c r="B15" s="9" t="s">
        <v>99</v>
      </c>
      <c r="C15" s="5" t="s">
        <v>98</v>
      </c>
      <c r="D15" s="6" t="s">
        <v>531</v>
      </c>
      <c r="E15" s="6" t="s">
        <v>107</v>
      </c>
    </row>
    <row r="16" spans="1:5" x14ac:dyDescent="0.25">
      <c r="A16" s="6">
        <v>10</v>
      </c>
      <c r="B16" s="9" t="s">
        <v>99</v>
      </c>
      <c r="C16" s="5" t="s">
        <v>100</v>
      </c>
      <c r="D16" s="6" t="s">
        <v>529</v>
      </c>
      <c r="E16" s="6" t="s">
        <v>107</v>
      </c>
    </row>
    <row r="18" spans="1:1" x14ac:dyDescent="0.25">
      <c r="A18" s="3" t="s">
        <v>532</v>
      </c>
    </row>
    <row r="19" ht="22" customHeight="1" spans="1:5" x14ac:dyDescent="0.25">
      <c r="A19" s="4" t="s">
        <v>79</v>
      </c>
      <c r="B19" s="4" t="s">
        <v>119</v>
      </c>
      <c r="C19" s="4" t="s">
        <v>533</v>
      </c>
      <c r="D19" s="4" t="s">
        <v>534</v>
      </c>
      <c r="E19" s="4" t="s">
        <v>107</v>
      </c>
    </row>
    <row r="20" spans="1:5" x14ac:dyDescent="0.25">
      <c r="A20" s="6">
        <v>1</v>
      </c>
      <c r="B20" s="5" t="s">
        <v>535</v>
      </c>
      <c r="C20" s="6" t="s">
        <v>536</v>
      </c>
      <c r="D20" s="6" t="s">
        <v>537</v>
      </c>
      <c r="E20" s="6" t="s">
        <v>107</v>
      </c>
    </row>
    <row r="21" spans="1:5" x14ac:dyDescent="0.25">
      <c r="A21" s="6">
        <v>2</v>
      </c>
      <c r="B21" s="5" t="s">
        <v>538</v>
      </c>
      <c r="C21" s="6" t="s">
        <v>539</v>
      </c>
      <c r="D21" s="6" t="s">
        <v>540</v>
      </c>
      <c r="E21" s="6" t="s">
        <v>107</v>
      </c>
    </row>
    <row r="22" spans="1:5" x14ac:dyDescent="0.25">
      <c r="A22" s="6">
        <v>3</v>
      </c>
      <c r="B22" s="5" t="s">
        <v>541</v>
      </c>
      <c r="C22" s="6" t="s">
        <v>542</v>
      </c>
      <c r="D22" s="6" t="s">
        <v>543</v>
      </c>
      <c r="E22" s="6" t="s">
        <v>107</v>
      </c>
    </row>
    <row r="23" spans="1:5" x14ac:dyDescent="0.25">
      <c r="A23" s="6">
        <v>4</v>
      </c>
      <c r="B23" s="5" t="s">
        <v>544</v>
      </c>
      <c r="C23" s="6" t="s">
        <v>545</v>
      </c>
      <c r="D23" s="6" t="s">
        <v>546</v>
      </c>
      <c r="E23" s="6" t="s">
        <v>107</v>
      </c>
    </row>
    <row r="24" spans="1:5" x14ac:dyDescent="0.25">
      <c r="A24" s="6">
        <v>5</v>
      </c>
      <c r="B24" s="5" t="s">
        <v>547</v>
      </c>
      <c r="C24" s="6" t="s">
        <v>548</v>
      </c>
      <c r="D24" s="6" t="s">
        <v>549</v>
      </c>
      <c r="E24" s="6" t="s">
        <v>107</v>
      </c>
    </row>
    <row r="26" spans="1:1" x14ac:dyDescent="0.25">
      <c r="A26" s="3" t="s">
        <v>550</v>
      </c>
    </row>
    <row r="27" ht="22" customHeight="1" spans="1:5" x14ac:dyDescent="0.25">
      <c r="A27" s="4" t="s">
        <v>551</v>
      </c>
      <c r="B27" s="4" t="s">
        <v>552</v>
      </c>
      <c r="C27" s="4" t="s">
        <v>553</v>
      </c>
      <c r="D27" s="4" t="s">
        <v>554</v>
      </c>
      <c r="E27" s="4" t="s">
        <v>555</v>
      </c>
    </row>
    <row r="28" spans="1:5" x14ac:dyDescent="0.25">
      <c r="A28" s="6">
        <v>1</v>
      </c>
      <c r="B28" s="5" t="s">
        <v>556</v>
      </c>
      <c r="C28" s="14" t="s">
        <v>557</v>
      </c>
      <c r="D28" s="6" t="s">
        <v>558</v>
      </c>
      <c r="E28" s="6" t="s">
        <v>559</v>
      </c>
    </row>
    <row r="29" spans="1:5" x14ac:dyDescent="0.25">
      <c r="A29" s="6">
        <v>2</v>
      </c>
      <c r="B29" s="5" t="s">
        <v>560</v>
      </c>
      <c r="C29" s="14" t="s">
        <v>561</v>
      </c>
      <c r="D29" s="6" t="s">
        <v>562</v>
      </c>
      <c r="E29" s="6" t="s">
        <v>563</v>
      </c>
    </row>
    <row r="30" spans="1:5" x14ac:dyDescent="0.25">
      <c r="A30" s="6">
        <v>3</v>
      </c>
      <c r="B30" s="5" t="s">
        <v>564</v>
      </c>
      <c r="C30" s="7" t="s">
        <v>565</v>
      </c>
      <c r="D30" s="6" t="s">
        <v>566</v>
      </c>
      <c r="E30" s="6" t="s">
        <v>567</v>
      </c>
    </row>
    <row r="31" spans="1:5" x14ac:dyDescent="0.25">
      <c r="A31" s="6">
        <v>4</v>
      </c>
      <c r="B31" s="5" t="s">
        <v>568</v>
      </c>
      <c r="C31" s="8" t="s">
        <v>569</v>
      </c>
      <c r="D31" s="6" t="s">
        <v>570</v>
      </c>
      <c r="E31" s="6" t="s">
        <v>571</v>
      </c>
    </row>
    <row r="32" spans="1:5" x14ac:dyDescent="0.25">
      <c r="A32" s="6">
        <v>5</v>
      </c>
      <c r="B32" s="5" t="s">
        <v>572</v>
      </c>
      <c r="C32" s="8" t="s">
        <v>573</v>
      </c>
      <c r="D32" s="6" t="s">
        <v>574</v>
      </c>
      <c r="E32" s="6" t="s">
        <v>575</v>
      </c>
    </row>
    <row r="33" spans="1:5" x14ac:dyDescent="0.25">
      <c r="A33" s="6">
        <v>6</v>
      </c>
      <c r="B33" s="5" t="s">
        <v>576</v>
      </c>
      <c r="C33" s="7" t="s">
        <v>577</v>
      </c>
      <c r="D33" s="6" t="s">
        <v>578</v>
      </c>
      <c r="E33" s="6" t="s">
        <v>579</v>
      </c>
    </row>
    <row r="35" ht="36" customHeight="1" spans="1:5" x14ac:dyDescent="0.25">
      <c r="A35" s="10" t="s">
        <v>580</v>
      </c>
      <c r="B35" s="10"/>
      <c r="C35" s="10"/>
      <c r="D35" s="10"/>
      <c r="E35" s="10"/>
    </row>
  </sheetData>
  <mergeCells count="3">
    <mergeCell ref="A1:E1"/>
    <mergeCell ref="A2:E2"/>
    <mergeCell ref="A35:E35"/>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2" customWidth="1"/>
    <col min="2" max="2" width="140" customWidth="1"/>
  </cols>
  <sheetData>
    <row r="1" ht="28" customHeight="1" spans="1:2" x14ac:dyDescent="0.25">
      <c r="A1" s="1" t="s">
        <v>581</v>
      </c>
      <c r="B1" s="1"/>
    </row>
    <row r="2" ht="30" customHeight="1" spans="1:2" x14ac:dyDescent="0.25">
      <c r="A2" s="2" t="s">
        <v>582</v>
      </c>
      <c r="B2" s="2"/>
    </row>
    <row r="4" ht="22" customHeight="1" spans="1:2" x14ac:dyDescent="0.25">
      <c r="A4" s="4" t="s">
        <v>119</v>
      </c>
      <c r="B4" s="4" t="s">
        <v>381</v>
      </c>
    </row>
    <row r="5" spans="1:2" x14ac:dyDescent="0.25">
      <c r="A5" s="5" t="s">
        <v>583</v>
      </c>
      <c r="B5" s="6" t="s">
        <v>584</v>
      </c>
    </row>
    <row r="6" spans="1:2" x14ac:dyDescent="0.25">
      <c r="A6" s="5" t="s">
        <v>585</v>
      </c>
      <c r="B6" s="6" t="s">
        <v>586</v>
      </c>
    </row>
    <row r="7" spans="1:2" x14ac:dyDescent="0.25">
      <c r="A7" s="5" t="s">
        <v>587</v>
      </c>
      <c r="B7" s="6" t="s">
        <v>588</v>
      </c>
    </row>
    <row r="8" spans="1:2" x14ac:dyDescent="0.25">
      <c r="A8" s="5" t="s">
        <v>589</v>
      </c>
      <c r="B8" s="6" t="s">
        <v>590</v>
      </c>
    </row>
    <row r="10" spans="1:1" x14ac:dyDescent="0.25">
      <c r="A10" s="3" t="s">
        <v>591</v>
      </c>
    </row>
    <row r="11" ht="130" customHeight="1" spans="1:2" x14ac:dyDescent="0.25">
      <c r="A11" s="15" t="s">
        <v>592</v>
      </c>
      <c r="B11" s="16" t="s">
        <v>593</v>
      </c>
    </row>
    <row r="13" ht="36" customHeight="1" spans="1:2" x14ac:dyDescent="0.25">
      <c r="A13" s="10" t="s">
        <v>594</v>
      </c>
      <c r="B13" s="10"/>
    </row>
  </sheetData>
  <mergeCells count="3">
    <mergeCell ref="A1:B1"/>
    <mergeCell ref="A2:B2"/>
    <mergeCell ref="A13:B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00_요약</vt:lpstr>
      <vt:lpstr>01_질문설계</vt:lpstr>
      <vt:lpstr>02_응답매트릭스</vt:lpstr>
      <vt:lpstr>03_진단항목</vt:lpstr>
      <vt:lpstr>04_크롤러</vt:lpstr>
      <vt:lpstr>05_스키마</vt:lpstr>
      <vt:lpstr>06_온페이지_인용적합도</vt:lpstr>
      <vt:lpstr>07_엔진별처방</vt:lpstr>
      <vt:lpstr>08_인용출처</vt:lpstr>
      <vt:lpstr>09_유의사항</vt:lpstr>
      <vt:lpstr>10_AEO콘텐츠설계</vt:lpstr>
      <vt:lpstr>11_GEO전략</vt:lpstr>
      <vt:lpstr>12_SOV실측가이드</vt:lpstr>
      <vt:lpstr>13_JSON-LD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NMG · CTCH</dc:creator>
  <dc:title/>
  <dc:subject/>
  <dc:description/>
  <cp:keywords/>
  <cp:category/>
  <cp:lastModifiedBy>Unknown</cp:lastModifiedBy>
  <dcterms:created xsi:type="dcterms:W3CDTF">2026-09-16T07:04:26Z</dcterms:created>
  <dcterms:modified xsi:type="dcterms:W3CDTF">2026-09-16T07:04:26Z</dcterms:modified>
</cp:coreProperties>
</file>